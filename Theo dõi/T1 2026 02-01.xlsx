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822F9DF2-4104-4760-B747-3678C4F611C0}" xr6:coauthVersionLast="47" xr6:coauthVersionMax="47" xr10:uidLastSave="{00000000-0000-0000-0000-000000000000}"/>
  <bookViews>
    <workbookView xWindow="-120" yWindow="-120" windowWidth="29040" windowHeight="15840" tabRatio="374" activeTab="2" xr2:uid="{00000000-000D-0000-FFFF-FFFF00000000}"/>
  </bookViews>
  <sheets>
    <sheet name="01-01" sheetId="5" r:id="rId1"/>
    <sheet name="02-01" sheetId="6" r:id="rId2"/>
    <sheet name="03-01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6" i="7" l="1"/>
  <c r="J27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J26" i="5" s="1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8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J27" i="6" l="1"/>
</calcChain>
</file>

<file path=xl/sharedStrings.xml><?xml version="1.0" encoding="utf-8"?>
<sst xmlns="http://schemas.openxmlformats.org/spreadsheetml/2006/main" count="379" uniqueCount="86">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</sst>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24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44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45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44" dataDxfId="43" tableBorderDxfId="42" headerRowCellStyle="Bad" dataCellStyle="Normal">
  <autoFilter ref="B6:M23" xr:uid="{8259D2E9-CBBA-448C-8826-9D32D86A1C8E}"/>
  <tableColumns count="12">
    <tableColumn id="1" xr3:uid="{E4641425-2A19-4B49-9673-70283C00A0C9}" name="STT" dataDxfId="41" dataCellStyle="Normal"/>
    <tableColumn id="2" xr3:uid="{025A0EEF-1CDF-4C0C-B939-08C1DD0A727D}" name="HỌ TÊN" dataDxfId="40" dataCellStyle="Normal"/>
    <tableColumn id="3" xr3:uid="{6BCA469E-875E-4DB8-B8F1-4CEF36B099CF}" name="SDT" dataDxfId="39" dataCellStyle="Normal"/>
    <tableColumn id="4" xr3:uid="{D9F1E73A-B9F0-40EF-AFAA-8EA36E51E6E5}" name="CCCD" dataDxfId="38" dataCellStyle="Normal"/>
    <tableColumn id="5" xr3:uid="{14CA9924-9789-4C5A-9CF8-07EBE7D52A04}" name="ĐỊA CHỈ" dataDxfId="37" dataCellStyle="Normal"/>
    <tableColumn id="6" xr3:uid="{6C450420-5538-4DFE-9199-B536E9A8E96F}" name="BIỂN SỐ" dataDxfId="36" dataCellStyle="Normal"/>
    <tableColumn id="7" xr3:uid="{AC3D7AF1-8B94-4F38-AB66-E23F1838615A}" name="DOANH THU" dataDxfId="35" dataCellStyle="Normal"/>
    <tableColumn id="8" xr3:uid="{EFCE95F7-84BE-4DDC-8F47-D72FEE60EEAF}" name="THỰC LÃNH" dataDxfId="34" dataCellStyle="Normal"/>
    <tableColumn id="9" xr3:uid="{8C4F1F4F-862F-4F19-89BC-03E1A18529D1}" name="HÌNH THỨC" dataDxfId="33" dataCellStyle="Normal"/>
    <tableColumn id="10" xr3:uid="{C632D7F3-C2D1-4A7E-8E44-63D7A4528237}" name="BILL" dataDxfId="32" dataCellStyle="Normal"/>
    <tableColumn id="12" xr3:uid="{41EE3F26-FB65-4525-BED8-40D96AC73E16}" name="NOTE" dataDxfId="31" dataCellStyle="Normal"/>
    <tableColumn id="11" xr3:uid="{95690A3D-EBB8-4295-8DD1-172792A9523E}" name="TIME" dataDxfId="30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29" dataDxfId="28" tableBorderDxfId="27" headerRowCellStyle="Bad" dataCellStyle="Normal">
  <autoFilter ref="B6:M24" xr:uid="{D102E08B-F339-41A7-8779-8E498408C686}"/>
  <tableColumns count="12">
    <tableColumn id="1" xr3:uid="{A0647350-C5C2-4A5A-9CE6-9C91A4BF1448}" name="STT" dataDxfId="26" dataCellStyle="Normal"/>
    <tableColumn id="2" xr3:uid="{E5CB0A83-0EE8-4763-BEA5-F47D20895CEB}" name="HỌ TÊN" dataDxfId="25" dataCellStyle="Normal"/>
    <tableColumn id="3" xr3:uid="{55163D38-55AB-49C5-AFDB-11106B1FB5EA}" name="SDT" dataDxfId="24" dataCellStyle="Normal"/>
    <tableColumn id="4" xr3:uid="{9DEEAE65-0EE6-4FDE-B947-A5EF76C2BD87}" name="CCCD" dataDxfId="23" dataCellStyle="Normal"/>
    <tableColumn id="5" xr3:uid="{5AFA717A-7A2A-4331-928B-98CBBDCDA0A2}" name="ĐỊA CHỈ" dataDxfId="22" dataCellStyle="Normal"/>
    <tableColumn id="6" xr3:uid="{F2FCA384-1F8E-40F4-BB65-79B0B14C2A89}" name="BIỂN SỐ" dataDxfId="21" dataCellStyle="Normal"/>
    <tableColumn id="7" xr3:uid="{FAE54719-B24E-4B85-BE9E-FBF95DD0E092}" name="DOANH THU" dataDxfId="20" dataCellStyle="Normal"/>
    <tableColumn id="8" xr3:uid="{36C3D2A6-4BF9-4A93-AD0A-18E2598162BA}" name="THỰC LÃNH" dataDxfId="19" dataCellStyle="Normal"/>
    <tableColumn id="9" xr3:uid="{BE0DF11B-4989-41AA-BEA3-81D6A56606B1}" name="HÌNH THỨC" dataDxfId="18" dataCellStyle="Normal"/>
    <tableColumn id="10" xr3:uid="{E428066A-6A33-430A-95DD-8E25B28D626C}" name="BILL" dataDxfId="17" dataCellStyle="Normal"/>
    <tableColumn id="12" xr3:uid="{928FFCBD-7074-4A5E-93E9-512B6CDBAC46}" name="NOTE" dataDxfId="16" dataCellStyle="Normal"/>
    <tableColumn id="11" xr3:uid="{054F524A-B0EB-4441-9D2F-48D3D98CB664}" name="TIME" dataDxfId="15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14" dataDxfId="13" tableBorderDxfId="12" headerRowCellStyle="Bad" dataCellStyle="Normal">
  <autoFilter ref="B6:M24" xr:uid="{D102E08B-F339-41A7-8779-8E498408C686}"/>
  <tableColumns count="12">
    <tableColumn id="1" xr3:uid="{984C32DA-9CD0-4E13-B865-6EAED834D984}" name="STT" dataDxfId="11" dataCellStyle="Normal"/>
    <tableColumn id="2" xr3:uid="{F1DCB155-1D62-4027-A3DA-A9FBDBBDFC4D}" name="HỌ TÊN" dataDxfId="10" dataCellStyle="Normal"/>
    <tableColumn id="3" xr3:uid="{5C330DB0-1E19-466E-AB2C-E562D46DC243}" name="SDT" dataDxfId="9" dataCellStyle="Normal"/>
    <tableColumn id="4" xr3:uid="{AB7FBF00-4E37-4D6D-A82A-571965487148}" name="CCCD" dataDxfId="8" dataCellStyle="Normal"/>
    <tableColumn id="5" xr3:uid="{25AD663F-C9DC-45FA-87E3-EC98289C695D}" name="ĐỊA CHỈ" dataDxfId="7" dataCellStyle="Normal"/>
    <tableColumn id="6" xr3:uid="{0C05E7D7-64B8-43E4-BC46-95EB52EF87B4}" name="BIỂN SỐ" dataDxfId="6" dataCellStyle="Normal"/>
    <tableColumn id="7" xr3:uid="{DCE2CCF7-5F06-4F7F-8168-BF276332F656}" name="DOANH THU" dataDxfId="5" dataCellStyle="Normal"/>
    <tableColumn id="8" xr3:uid="{D07BFE34-76E9-4F19-A23E-07516BD1AFC9}" name="THỰC LÃNH" dataDxfId="4" dataCellStyle="Normal"/>
    <tableColumn id="9" xr3:uid="{F536DCC4-4F00-4248-B00E-1B801BDDEBBD}" name="HÌNH THỨC" dataDxfId="3" dataCellStyle="Normal"/>
    <tableColumn id="10" xr3:uid="{E474DC06-F263-48D8-BAD2-21F369101CD6}" name="BILL" dataDxfId="2" dataCellStyle="Normal"/>
    <tableColumn id="12" xr3:uid="{569676A8-F060-4B81-9319-D9A824EB8B46}" name="NOTE" dataDxfId="1" dataCellStyle="Normal"/>
    <tableColumn id="11" xr3:uid="{4C9FE953-00AF-4D77-B446-CBEC0FFE32D6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="85" zoomScaleNormal="85" workbookViewId="0">
      <selection activeCell="L12" sqref="L12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40" t="s">
        <v>31</v>
      </c>
      <c r="C2" s="40"/>
      <c r="D2" s="40"/>
      <c r="E2" s="40"/>
      <c r="F2" s="40"/>
      <c r="G2" s="40"/>
      <c r="H2" s="40"/>
      <c r="I2" s="40"/>
      <c r="J2" s="40"/>
      <c r="K2" s="40"/>
    </row>
    <row r="3" spans="2:13" ht="30.75" x14ac:dyDescent="0.25">
      <c r="B3" s="41" t="s">
        <v>55</v>
      </c>
      <c r="C3" s="42"/>
      <c r="D3" s="42"/>
      <c r="E3" s="42"/>
      <c r="F3" s="42"/>
      <c r="G3" s="42"/>
      <c r="H3" s="42"/>
      <c r="I3" s="42"/>
      <c r="J3" s="42"/>
      <c r="K3" s="4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5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5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5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5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5" x14ac:dyDescent="0.3">
      <c r="D25" s="23" t="s">
        <v>65</v>
      </c>
      <c r="E25" s="24">
        <v>0.6</v>
      </c>
      <c r="F25" s="25" t="s">
        <v>66</v>
      </c>
      <c r="H25" s="43" t="s">
        <v>29</v>
      </c>
      <c r="I25" s="43"/>
      <c r="J25" s="9">
        <f>SUM(H7:H1000)</f>
        <v>24820000</v>
      </c>
    </row>
    <row r="26" spans="2:13" ht="22.5" x14ac:dyDescent="0.3">
      <c r="H26" s="43" t="s">
        <v>30</v>
      </c>
      <c r="I26" s="43"/>
      <c r="J26" s="9">
        <f>SUM(I7:I1000)</f>
        <v>14390000</v>
      </c>
    </row>
    <row r="42" spans="2:2" x14ac:dyDescent="0.25">
      <c r="B42" s="22" t="s">
        <v>58</v>
      </c>
    </row>
    <row r="43" spans="2:2" ht="16.5" x14ac:dyDescent="0.25">
      <c r="B43" s="17" t="s">
        <v>14</v>
      </c>
    </row>
    <row r="44" spans="2:2" ht="16.5" x14ac:dyDescent="0.25">
      <c r="B44" s="18" t="s">
        <v>16</v>
      </c>
    </row>
    <row r="45" spans="2:2" ht="16.5" x14ac:dyDescent="0.25">
      <c r="B45" s="17" t="s">
        <v>17</v>
      </c>
    </row>
    <row r="46" spans="2:2" ht="16.5" x14ac:dyDescent="0.25">
      <c r="B46" s="18" t="s">
        <v>48</v>
      </c>
    </row>
    <row r="47" spans="2:2" ht="16.5" x14ac:dyDescent="0.25">
      <c r="B47" s="17" t="s">
        <v>19</v>
      </c>
    </row>
    <row r="48" spans="2:2" ht="16.5" x14ac:dyDescent="0.25">
      <c r="B48" s="19" t="s">
        <v>56</v>
      </c>
    </row>
    <row r="49" spans="2:2" ht="16.5" x14ac:dyDescent="0.25">
      <c r="B49" s="20" t="s">
        <v>22</v>
      </c>
    </row>
    <row r="50" spans="2:2" ht="16.5" x14ac:dyDescent="0.25">
      <c r="B50" s="19" t="s">
        <v>32</v>
      </c>
    </row>
    <row r="51" spans="2:2" ht="16.5" x14ac:dyDescent="0.25">
      <c r="B51" s="20" t="s">
        <v>25</v>
      </c>
    </row>
    <row r="52" spans="2:2" ht="16.5" x14ac:dyDescent="0.25">
      <c r="B52" s="19" t="s">
        <v>27</v>
      </c>
    </row>
    <row r="53" spans="2:2" ht="16.5" x14ac:dyDescent="0.25">
      <c r="B53" s="20" t="s">
        <v>57</v>
      </c>
    </row>
    <row r="54" spans="2:2" ht="16.5" x14ac:dyDescent="0.25">
      <c r="B54" s="19" t="s">
        <v>36</v>
      </c>
    </row>
    <row r="55" spans="2:2" ht="16.5" x14ac:dyDescent="0.25">
      <c r="B55" s="21" t="s">
        <v>35</v>
      </c>
    </row>
  </sheetData>
  <sheetProtection sheet="1" objects="1" scenarios="1"/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zoomScale="85" zoomScaleNormal="85" workbookViewId="0">
      <selection activeCell="C22" sqref="C22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40" t="s">
        <v>31</v>
      </c>
      <c r="C2" s="40"/>
      <c r="D2" s="40"/>
      <c r="E2" s="40"/>
      <c r="F2" s="40"/>
      <c r="G2" s="40"/>
      <c r="H2" s="40"/>
      <c r="I2" s="40"/>
      <c r="J2" s="40"/>
      <c r="K2" s="40"/>
    </row>
    <row r="3" spans="2:13" ht="30.75" x14ac:dyDescent="0.25">
      <c r="B3" s="41" t="s">
        <v>77</v>
      </c>
      <c r="C3" s="42"/>
      <c r="D3" s="42"/>
      <c r="E3" s="42"/>
      <c r="F3" s="42"/>
      <c r="G3" s="42"/>
      <c r="H3" s="42"/>
      <c r="I3" s="42"/>
      <c r="J3" s="42"/>
      <c r="K3" s="4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 t="shared" ref="I8:I21" si="0">H8*$E$26</f>
        <v>1500000</v>
      </c>
      <c r="J8" s="39" t="s">
        <v>26</v>
      </c>
      <c r="K8" s="33" t="s">
        <v>72</v>
      </c>
      <c r="L8" s="35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1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si="0"/>
        <v>1056000</v>
      </c>
      <c r="J10" s="16" t="s">
        <v>69</v>
      </c>
      <c r="K10" s="2"/>
      <c r="L10" s="16"/>
      <c r="M10" s="12"/>
    </row>
    <row r="11" spans="2:13" ht="16.5" x14ac:dyDescent="0.25">
      <c r="B11" s="3">
        <f t="shared" si="1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0"/>
        <v>1170000</v>
      </c>
      <c r="J11" s="39" t="s">
        <v>26</v>
      </c>
      <c r="K11" s="33" t="s">
        <v>72</v>
      </c>
      <c r="L11" s="35"/>
      <c r="M11" s="12"/>
    </row>
    <row r="12" spans="2:13" ht="16.5" x14ac:dyDescent="0.25">
      <c r="B12" s="3">
        <f t="shared" si="1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0"/>
        <v>1185000</v>
      </c>
      <c r="J12" s="16" t="s">
        <v>69</v>
      </c>
      <c r="K12" s="2"/>
      <c r="L12" s="2"/>
      <c r="M12" s="13"/>
    </row>
    <row r="13" spans="2:13" ht="16.5" x14ac:dyDescent="0.25">
      <c r="B13" s="3">
        <f t="shared" si="1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0"/>
        <v>1230000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1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0"/>
        <v>1320000</v>
      </c>
      <c r="J14" s="16" t="s">
        <v>69</v>
      </c>
      <c r="K14" s="2"/>
      <c r="L14" s="2"/>
      <c r="M14" s="13"/>
    </row>
    <row r="15" spans="2:13" ht="16.5" x14ac:dyDescent="0.25">
      <c r="B15" s="3">
        <f t="shared" si="1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0"/>
        <v>1122000</v>
      </c>
      <c r="J15" s="16" t="s">
        <v>69</v>
      </c>
      <c r="K15" s="2"/>
      <c r="L15" s="2"/>
      <c r="M15" s="12"/>
    </row>
    <row r="16" spans="2:13" ht="16.5" x14ac:dyDescent="0.25">
      <c r="B16" s="3">
        <f t="shared" si="1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0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1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5" x14ac:dyDescent="0.25">
      <c r="B18" s="3">
        <f t="shared" si="1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5" x14ac:dyDescent="0.25">
      <c r="B19" s="3">
        <f t="shared" si="1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5" x14ac:dyDescent="0.25">
      <c r="A20" s="30" t="s">
        <v>71</v>
      </c>
      <c r="B20" s="31">
        <f t="shared" si="1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5" x14ac:dyDescent="0.25">
      <c r="A21" s="30" t="s">
        <v>71</v>
      </c>
      <c r="B21" s="31">
        <f>B20 +1</f>
        <v>15</v>
      </c>
      <c r="C21" s="36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0"/>
        <v>690000</v>
      </c>
      <c r="J21" s="16" t="s">
        <v>69</v>
      </c>
      <c r="K21" s="2"/>
      <c r="L21" s="35"/>
      <c r="M21" s="12"/>
    </row>
    <row r="22" spans="1:13" ht="16.5" x14ac:dyDescent="0.25">
      <c r="B22" s="3">
        <f t="shared" si="1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1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1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43" t="s">
        <v>29</v>
      </c>
      <c r="I26" s="43"/>
      <c r="J26" s="9">
        <f>SUM(H7:H1001)</f>
        <v>29135000</v>
      </c>
    </row>
    <row r="27" spans="1:13" ht="22.5" x14ac:dyDescent="0.3">
      <c r="H27" s="43" t="s">
        <v>30</v>
      </c>
      <c r="I27" s="43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dimension ref="A2:M56"/>
  <sheetViews>
    <sheetView tabSelected="1" zoomScale="85" zoomScaleNormal="85" workbookViewId="0">
      <selection activeCell="J11" sqref="J11"/>
    </sheetView>
  </sheetViews>
  <sheetFormatPr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40" t="s">
        <v>31</v>
      </c>
      <c r="C2" s="40"/>
      <c r="D2" s="40"/>
      <c r="E2" s="40"/>
      <c r="F2" s="40"/>
      <c r="G2" s="40"/>
      <c r="H2" s="40"/>
      <c r="I2" s="40"/>
      <c r="J2" s="40"/>
      <c r="K2" s="40"/>
    </row>
    <row r="3" spans="2:13" ht="30.75" x14ac:dyDescent="0.25">
      <c r="B3" s="41" t="s">
        <v>85</v>
      </c>
      <c r="C3" s="42"/>
      <c r="D3" s="42"/>
      <c r="E3" s="42"/>
      <c r="F3" s="42"/>
      <c r="G3" s="42"/>
      <c r="H3" s="42"/>
      <c r="I3" s="42"/>
      <c r="J3" s="42"/>
      <c r="K3" s="4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/>
      <c r="I7" s="10"/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/>
      <c r="I8" s="10"/>
      <c r="J8" s="39" t="s">
        <v>26</v>
      </c>
      <c r="K8" s="33" t="s">
        <v>72</v>
      </c>
      <c r="L8" s="35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/>
      <c r="I9" s="10"/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/>
      <c r="I10" s="10"/>
      <c r="J10" s="16" t="s">
        <v>69</v>
      </c>
      <c r="K10" s="2"/>
      <c r="L10" s="16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/>
      <c r="I11" s="10"/>
      <c r="J11" s="39" t="s">
        <v>26</v>
      </c>
      <c r="K11" s="33" t="s">
        <v>72</v>
      </c>
      <c r="L11" s="35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/>
      <c r="I12" s="10"/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/>
      <c r="I13" s="10"/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/>
      <c r="I14" s="10"/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/>
      <c r="I15" s="10"/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/>
      <c r="I16" s="10"/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/>
      <c r="I17" s="10"/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/>
      <c r="I18" s="10"/>
      <c r="J18" s="39" t="s">
        <v>26</v>
      </c>
      <c r="K18" s="33" t="s">
        <v>72</v>
      </c>
      <c r="L18" s="35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/>
      <c r="I19" s="10"/>
      <c r="J19" s="16" t="s">
        <v>69</v>
      </c>
      <c r="K19" s="2"/>
      <c r="L19" s="2"/>
      <c r="M19" s="12"/>
    </row>
    <row r="20" spans="1:13" ht="16.5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/>
      <c r="I20" s="10"/>
      <c r="J20" s="39" t="s">
        <v>26</v>
      </c>
      <c r="K20" s="35"/>
      <c r="L20" s="35"/>
      <c r="M20" s="12"/>
    </row>
    <row r="21" spans="1:13" ht="16.5" x14ac:dyDescent="0.25">
      <c r="A21" s="30" t="s">
        <v>71</v>
      </c>
      <c r="B21" s="31">
        <f>B20 +1</f>
        <v>15</v>
      </c>
      <c r="C21" s="36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/>
      <c r="I21" s="10"/>
      <c r="J21" s="16" t="s">
        <v>69</v>
      </c>
      <c r="K21" s="2"/>
      <c r="L21" s="35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43" t="s">
        <v>29</v>
      </c>
      <c r="I26" s="43"/>
      <c r="J26" s="9">
        <f>SUM(H7:H1001)</f>
        <v>0</v>
      </c>
    </row>
    <row r="27" spans="1:13" ht="22.5" x14ac:dyDescent="0.3">
      <c r="H27" s="43" t="s">
        <v>30</v>
      </c>
      <c r="I27" s="43"/>
      <c r="J27" s="9">
        <f>SUM(I7:I1001)</f>
        <v>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01-01</vt:lpstr>
      <vt:lpstr>02-01</vt:lpstr>
      <vt:lpstr>03-01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2026-01-03T16:09:57Z</dcterms:modified>
</cp:coreProperties>
</file>