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B4BB3DC6-A586-4F92-9FEC-99640238DF00}" xr6:coauthVersionLast="47" xr6:coauthVersionMax="47" xr10:uidLastSave="{00000000-0000-0000-0000-000000000000}"/>
  <bookViews>
    <workbookView xWindow="-120" yWindow="-120" windowWidth="29040" windowHeight="15840" tabRatio="374" activeTab="2" xr2:uid="{00000000-000D-0000-FFFF-FFFF00000000}"/>
  </bookViews>
  <sheets>
    <sheet name="01-01" sheetId="5" r:id="rId1"/>
    <sheet name="02-01" sheetId="6" r:id="rId2"/>
    <sheet name="03-01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7" l="1"/>
  <c r="I10" i="7"/>
  <c r="I11" i="7"/>
  <c r="I12" i="7"/>
  <c r="I13" i="7"/>
  <c r="I15" i="7"/>
  <c r="I16" i="7"/>
  <c r="I17" i="7"/>
  <c r="I18" i="7"/>
  <c r="I8" i="6"/>
  <c r="J26" i="7"/>
  <c r="B8" i="7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J25" i="5"/>
  <c r="I23" i="5"/>
  <c r="I22" i="5"/>
  <c r="I19" i="5"/>
  <c r="I18" i="5"/>
  <c r="I17" i="5"/>
  <c r="I16" i="5"/>
  <c r="I15" i="5"/>
  <c r="I14" i="5"/>
  <c r="I12" i="5"/>
  <c r="I11" i="5"/>
  <c r="I10" i="5"/>
  <c r="I9" i="5"/>
  <c r="J26" i="5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I21" i="6"/>
  <c r="I10" i="6"/>
  <c r="I11" i="6"/>
  <c r="I12" i="6"/>
  <c r="I13" i="6"/>
  <c r="I14" i="6"/>
  <c r="I15" i="6"/>
  <c r="I16" i="6"/>
  <c r="J26" i="6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J27" i="7" l="1"/>
  <c r="J27" i="6"/>
</calcChain>
</file>

<file path=xl/sharedStrings.xml><?xml version="1.0" encoding="utf-8"?>
<sst xmlns="http://schemas.openxmlformats.org/spreadsheetml/2006/main" count="382" uniqueCount="88">
  <si>
    <t>STT</t>
  </si>
  <si>
    <t>HỌ TÊN</t>
  </si>
  <si>
    <t>CCCD</t>
  </si>
  <si>
    <t>ĐỊA CHỈ</t>
  </si>
  <si>
    <t>DOANH THU</t>
  </si>
  <si>
    <t>BILL</t>
  </si>
  <si>
    <t>NULL</t>
  </si>
  <si>
    <t>HÌNH THỨC</t>
  </si>
  <si>
    <t>0975 734 763</t>
  </si>
  <si>
    <t>0915 192 340</t>
  </si>
  <si>
    <t>0974 650 440</t>
  </si>
  <si>
    <t>0969 010 942</t>
  </si>
  <si>
    <t>0945 414 842</t>
  </si>
  <si>
    <t>THANH HÓA</t>
  </si>
  <si>
    <t>68HC 001.92</t>
  </si>
  <si>
    <t>KIÊN GIANG</t>
  </si>
  <si>
    <t>68HC 001.84</t>
  </si>
  <si>
    <t>68HC 001.81</t>
  </si>
  <si>
    <t>AN GIANG</t>
  </si>
  <si>
    <t xml:space="preserve">68HC 001.89 </t>
  </si>
  <si>
    <t>THỰC LÃNH</t>
  </si>
  <si>
    <t>HÀ TĨNH</t>
  </si>
  <si>
    <t>68HC 001.63</t>
  </si>
  <si>
    <t>0989 272 425</t>
  </si>
  <si>
    <t>0832 565 558</t>
  </si>
  <si>
    <t>68HC 001.71</t>
  </si>
  <si>
    <t>TM</t>
  </si>
  <si>
    <t>68HC 001.33</t>
  </si>
  <si>
    <t>0784 617 223</t>
  </si>
  <si>
    <t>TỔNG DOANH THU</t>
  </si>
  <si>
    <t>TỔNG THỰC LÃNH</t>
  </si>
  <si>
    <t>CÔNG TY TNHH MTV VẬN TẢI VÀ DU LỊCH MINH HẢI</t>
  </si>
  <si>
    <t xml:space="preserve">68HC 001.78 </t>
  </si>
  <si>
    <t>0369 922 571</t>
  </si>
  <si>
    <t>NOTE</t>
  </si>
  <si>
    <t xml:space="preserve">68HC 001.70 </t>
  </si>
  <si>
    <t>68HC 001.98</t>
  </si>
  <si>
    <t>QUANG HÀ (VIN)</t>
  </si>
  <si>
    <t>TRƯƠNG VŨ CA (VŨ LINH) (Vin)</t>
  </si>
  <si>
    <t>NGUYỄN CHÍ BÌNH (Vin)</t>
  </si>
  <si>
    <t>LÊ VĂN TÙNG (Sun)</t>
  </si>
  <si>
    <t>ĐỖ VĂN CHUNG (Sun)</t>
  </si>
  <si>
    <t>NAM DO (Sun)</t>
  </si>
  <si>
    <t>NGUYỄN QUỐC NAM (Sun)</t>
  </si>
  <si>
    <t>NHẤT (Sun)</t>
  </si>
  <si>
    <t>TRẦN THIỆN (Sun)</t>
  </si>
  <si>
    <t>THANH  (Sun)</t>
  </si>
  <si>
    <t>VĂN HẠNH (Sun)</t>
  </si>
  <si>
    <t xml:space="preserve">68HC 001.93 </t>
  </si>
  <si>
    <t>BIỂN SỐ</t>
  </si>
  <si>
    <t>SDT</t>
  </si>
  <si>
    <t>TIME</t>
  </si>
  <si>
    <t>TRẦN VIẾT HÙNG (Sun)</t>
  </si>
  <si>
    <t>NINH BÌNH</t>
  </si>
  <si>
    <t>0917 387 279</t>
  </si>
  <si>
    <t>DOANH THU 01/01/2026</t>
  </si>
  <si>
    <t>68HC 001.34</t>
  </si>
  <si>
    <t>68HC 001.36</t>
  </si>
  <si>
    <t>Biển số</t>
  </si>
  <si>
    <t>0972 789 389</t>
  </si>
  <si>
    <t>HẬU GIANG</t>
  </si>
  <si>
    <t>0911 181 895</t>
  </si>
  <si>
    <t>BẠC LIÊU</t>
  </si>
  <si>
    <t>0981 436 488</t>
  </si>
  <si>
    <t>LONG AN</t>
  </si>
  <si>
    <t xml:space="preserve">Tỉ lệ: </t>
  </si>
  <si>
    <t>6;4</t>
  </si>
  <si>
    <t xml:space="preserve">LÊ THÀNH LẬP (Hiếu) (Sun) </t>
  </si>
  <si>
    <t xml:space="preserve"> </t>
  </si>
  <si>
    <t>CK</t>
  </si>
  <si>
    <t>Elly nợ 500k</t>
  </si>
  <si>
    <t xml:space="preserve">Người mới </t>
  </si>
  <si>
    <t>Chưa TT</t>
  </si>
  <si>
    <t>68HC 001.86</t>
  </si>
  <si>
    <t>chưa được cấp</t>
  </si>
  <si>
    <t>0912 285 485</t>
  </si>
  <si>
    <t>0589 198 189</t>
  </si>
  <si>
    <t>DOANH THU 02/01/2026</t>
  </si>
  <si>
    <t>Lê Văn Tùng 12k*</t>
  </si>
  <si>
    <t>TRẦN THANH THANH  (Sun)</t>
  </si>
  <si>
    <t>LÊ VĨNH NHÂM (Vin)</t>
  </si>
  <si>
    <t>HUỲNH HOÀNG VŨ</t>
  </si>
  <si>
    <t>68HC 001.91</t>
  </si>
  <si>
    <t>68HC 001.68</t>
  </si>
  <si>
    <t>xe chưa có biển</t>
  </si>
  <si>
    <t>DOANH THU 03/01/2026</t>
  </si>
  <si>
    <t>Chưa chuyển</t>
  </si>
  <si>
    <t>mới nhận 900
thiếu 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</si>
</sst>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25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6"/>
      <color rgb="FF9C0006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8"/>
      <color rgb="FFFA7D00"/>
      <name val="Times New Roman"/>
      <family val="2"/>
    </font>
    <font>
      <b/>
      <sz val="18"/>
      <color rgb="FF3F3F3F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81B3A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3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name val="Times New Roman"/>
      <family val="1"/>
    </font>
    <font>
      <b/>
      <sz val="13"/>
      <color rgb="FFFFFF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49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3" fillId="3" borderId="2" xfId="2" applyNumberFormat="1" applyFont="1"/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3" borderId="1" xfId="3" applyFont="1"/>
    <xf numFmtId="0" fontId="2" fillId="3" borderId="2" xfId="2"/>
    <xf numFmtId="20" fontId="16" fillId="0" borderId="0" xfId="0" applyNumberFormat="1" applyFont="1" applyAlignment="1">
      <alignment horizontal="right"/>
    </xf>
    <xf numFmtId="3" fontId="4" fillId="0" borderId="0" xfId="0" applyNumberFormat="1" applyFont="1"/>
    <xf numFmtId="0" fontId="0" fillId="0" borderId="0" xfId="0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16" fillId="5" borderId="0" xfId="0" applyFont="1" applyFill="1"/>
    <xf numFmtId="0" fontId="19" fillId="0" borderId="0" xfId="0" applyFont="1" applyAlignment="1">
      <alignment horizontal="center" vertical="center" wrapText="1"/>
    </xf>
    <xf numFmtId="0" fontId="14" fillId="6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4" fillId="7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" xfId="3" applyFont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</cellXfs>
  <cellStyles count="4">
    <cellStyle name="Bad" xfId="1" builtinId="27"/>
    <cellStyle name="Calculation" xfId="3" builtinId="22"/>
    <cellStyle name="Normal" xfId="0" builtinId="0"/>
    <cellStyle name="Output" xfId="2" builtinId="21"/>
  </cellStyles>
  <dxfs count="45"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1F77C-764B-C8C5-D5A0-A7373A845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7628" y="8757671"/>
          <a:ext cx="2648502" cy="5732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185939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E2731-B975-463C-8074-9B80D509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646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9D2E9-CBBA-448C-8826-9D32D86A1C8E}" name="Table1453" displayName="Table1453" ref="B6:M23" totalsRowShown="0" headerRowDxfId="44" dataDxfId="43" tableBorderDxfId="42" headerRowCellStyle="Bad" dataCellStyle="Normal">
  <autoFilter ref="B6:M23" xr:uid="{8259D2E9-CBBA-448C-8826-9D32D86A1C8E}"/>
  <tableColumns count="12">
    <tableColumn id="1" xr3:uid="{E4641425-2A19-4B49-9673-70283C00A0C9}" name="STT" dataDxfId="41" dataCellStyle="Normal"/>
    <tableColumn id="2" xr3:uid="{025A0EEF-1CDF-4C0C-B939-08C1DD0A727D}" name="HỌ TÊN" dataDxfId="40" dataCellStyle="Normal"/>
    <tableColumn id="3" xr3:uid="{6BCA469E-875E-4DB8-B8F1-4CEF36B099CF}" name="SDT" dataDxfId="39" dataCellStyle="Normal"/>
    <tableColumn id="4" xr3:uid="{D9F1E73A-B9F0-40EF-AFAA-8EA36E51E6E5}" name="CCCD" dataDxfId="38" dataCellStyle="Normal"/>
    <tableColumn id="5" xr3:uid="{14CA9924-9789-4C5A-9CF8-07EBE7D52A04}" name="ĐỊA CHỈ" dataDxfId="37" dataCellStyle="Normal"/>
    <tableColumn id="6" xr3:uid="{6C450420-5538-4DFE-9199-B536E9A8E96F}" name="BIỂN SỐ" dataDxfId="36" dataCellStyle="Normal"/>
    <tableColumn id="7" xr3:uid="{AC3D7AF1-8B94-4F38-AB66-E23F1838615A}" name="DOANH THU" dataDxfId="35" dataCellStyle="Normal"/>
    <tableColumn id="8" xr3:uid="{EFCE95F7-84BE-4DDC-8F47-D72FEE60EEAF}" name="THỰC LÃNH" dataDxfId="34" dataCellStyle="Normal"/>
    <tableColumn id="9" xr3:uid="{8C4F1F4F-862F-4F19-89BC-03E1A18529D1}" name="HÌNH THỨC" dataDxfId="33" dataCellStyle="Normal"/>
    <tableColumn id="10" xr3:uid="{C632D7F3-C2D1-4A7E-8E44-63D7A4528237}" name="BILL" dataDxfId="32" dataCellStyle="Normal"/>
    <tableColumn id="12" xr3:uid="{41EE3F26-FB65-4525-BED8-40D96AC73E16}" name="NOTE" dataDxfId="31" dataCellStyle="Normal"/>
    <tableColumn id="11" xr3:uid="{95690A3D-EBB8-4295-8DD1-172792A9523E}" name="TIME" dataDxfId="30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E112E-9FFD-4DE3-AB43-DC2522DF0F97}" name="Table1452" displayName="Table1452" ref="B6:M24" totalsRowShown="0" headerRowDxfId="29" dataDxfId="28" tableBorderDxfId="27" headerRowCellStyle="Bad" dataCellStyle="Normal">
  <autoFilter ref="B6:M24" xr:uid="{D102E08B-F339-41A7-8779-8E498408C686}"/>
  <tableColumns count="12">
    <tableColumn id="1" xr3:uid="{A0647350-C5C2-4A5A-9CE6-9C91A4BF1448}" name="STT" dataDxfId="26" dataCellStyle="Normal"/>
    <tableColumn id="2" xr3:uid="{E5CB0A83-0EE8-4763-BEA5-F47D20895CEB}" name="HỌ TÊN" dataDxfId="25" dataCellStyle="Normal"/>
    <tableColumn id="3" xr3:uid="{55163D38-55AB-49C5-AFDB-11106B1FB5EA}" name="SDT" dataDxfId="24" dataCellStyle="Normal"/>
    <tableColumn id="4" xr3:uid="{9DEEAE65-0EE6-4FDE-B947-A5EF76C2BD87}" name="CCCD" dataDxfId="23" dataCellStyle="Normal"/>
    <tableColumn id="5" xr3:uid="{5AFA717A-7A2A-4331-928B-98CBBDCDA0A2}" name="ĐỊA CHỈ" dataDxfId="22" dataCellStyle="Normal"/>
    <tableColumn id="6" xr3:uid="{F2FCA384-1F8E-40F4-BB65-79B0B14C2A89}" name="BIỂN SỐ" dataDxfId="21" dataCellStyle="Normal"/>
    <tableColumn id="7" xr3:uid="{FAE54719-B24E-4B85-BE9E-FBF95DD0E092}" name="DOANH THU" dataDxfId="20" dataCellStyle="Normal"/>
    <tableColumn id="8" xr3:uid="{36C3D2A6-4BF9-4A93-AD0A-18E2598162BA}" name="THỰC LÃNH" dataDxfId="19" dataCellStyle="Normal"/>
    <tableColumn id="9" xr3:uid="{BE0DF11B-4989-41AA-BEA3-81D6A56606B1}" name="HÌNH THỨC" dataDxfId="18" dataCellStyle="Normal"/>
    <tableColumn id="10" xr3:uid="{E428066A-6A33-430A-95DD-8E25B28D626C}" name="BILL" dataDxfId="17" dataCellStyle="Normal"/>
    <tableColumn id="12" xr3:uid="{928FFCBD-7074-4A5E-93E9-512B6CDBAC46}" name="NOTE" dataDxfId="16" dataCellStyle="Normal"/>
    <tableColumn id="11" xr3:uid="{054F524A-B0EB-4441-9D2F-48D3D98CB664}" name="TIME" dataDxfId="15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1EE2EE-55E9-4D50-8E60-6BD69129A816}" name="Table14524" displayName="Table14524" ref="B6:M24" totalsRowShown="0" headerRowDxfId="14" dataDxfId="13" tableBorderDxfId="12" headerRowCellStyle="Bad" dataCellStyle="Normal">
  <autoFilter ref="B6:M24" xr:uid="{D102E08B-F339-41A7-8779-8E498408C686}"/>
  <tableColumns count="12">
    <tableColumn id="1" xr3:uid="{984C32DA-9CD0-4E13-B865-6EAED834D984}" name="STT" dataDxfId="11" dataCellStyle="Normal"/>
    <tableColumn id="2" xr3:uid="{F1DCB155-1D62-4027-A3DA-A9FBDBBDFC4D}" name="HỌ TÊN" dataDxfId="10" dataCellStyle="Normal"/>
    <tableColumn id="3" xr3:uid="{5C330DB0-1E19-466E-AB2C-E562D46DC243}" name="SDT" dataDxfId="9" dataCellStyle="Normal"/>
    <tableColumn id="4" xr3:uid="{AB7FBF00-4E37-4D6D-A82A-571965487148}" name="CCCD" dataDxfId="8" dataCellStyle="Normal"/>
    <tableColumn id="5" xr3:uid="{25AD663F-C9DC-45FA-87E3-EC98289C695D}" name="ĐỊA CHỈ" dataDxfId="7" dataCellStyle="Normal"/>
    <tableColumn id="6" xr3:uid="{0C05E7D7-64B8-43E4-BC46-95EB52EF87B4}" name="BIỂN SỐ" dataDxfId="6" dataCellStyle="Normal"/>
    <tableColumn id="7" xr3:uid="{DCE2CCF7-5F06-4F7F-8168-BF276332F656}" name="DOANH THU" dataDxfId="5" dataCellStyle="Normal"/>
    <tableColumn id="8" xr3:uid="{D07BFE34-76E9-4F19-A23E-07516BD1AFC9}" name="THỰC LÃNH" dataDxfId="4" dataCellStyle="Normal"/>
    <tableColumn id="9" xr3:uid="{F536DCC4-4F00-4248-B00E-1B801BDDEBBD}" name="HÌNH THỨC" dataDxfId="3" dataCellStyle="Normal"/>
    <tableColumn id="10" xr3:uid="{E474DC06-F263-48D8-BAD2-21F369101CD6}" name="BILL" dataDxfId="2" dataCellStyle="Normal"/>
    <tableColumn id="12" xr3:uid="{569676A8-F060-4B81-9319-D9A824EB8B46}" name="NOTE" dataDxfId="1" dataCellStyle="Normal"/>
    <tableColumn id="11" xr3:uid="{4C9FE953-00AF-4D77-B446-CBEC0FFE32D6}" name="TIME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608-160F-4BF1-86F8-D9455234BF27}">
  <sheetPr codeName="Sheet4"/>
  <dimension ref="B2:M55"/>
  <sheetViews>
    <sheetView zoomScale="85" zoomScaleNormal="85" workbookViewId="0">
      <selection activeCell="L12" sqref="L12"/>
    </sheetView>
  </sheetViews>
  <sheetFormatPr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43" t="s">
        <v>31</v>
      </c>
      <c r="C2" s="43"/>
      <c r="D2" s="43"/>
      <c r="E2" s="43"/>
      <c r="F2" s="43"/>
      <c r="G2" s="43"/>
      <c r="H2" s="43"/>
      <c r="I2" s="43"/>
      <c r="J2" s="43"/>
      <c r="K2" s="43"/>
    </row>
    <row r="3" spans="2:13" ht="30.75" x14ac:dyDescent="0.25">
      <c r="B3" s="44" t="s">
        <v>55</v>
      </c>
      <c r="C3" s="45"/>
      <c r="D3" s="45"/>
      <c r="E3" s="45"/>
      <c r="F3" s="45"/>
      <c r="G3" s="45"/>
      <c r="H3" s="45"/>
      <c r="I3" s="45"/>
      <c r="J3" s="45"/>
      <c r="K3" s="4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1940000</v>
      </c>
      <c r="I7" s="28">
        <v>660000</v>
      </c>
      <c r="J7" s="3" t="s">
        <v>69</v>
      </c>
      <c r="K7" s="2"/>
      <c r="L7" s="38" t="s">
        <v>70</v>
      </c>
      <c r="M7" s="12"/>
    </row>
    <row r="8" spans="2:13" ht="16.5" x14ac:dyDescent="0.25">
      <c r="B8" s="3">
        <f t="shared" ref="B8:B23" si="0"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1960000</v>
      </c>
      <c r="I8" s="10">
        <v>1180000</v>
      </c>
      <c r="J8" s="29" t="s">
        <v>26</v>
      </c>
      <c r="K8" s="2"/>
      <c r="L8" s="27"/>
      <c r="M8" s="12"/>
    </row>
    <row r="9" spans="2:13" ht="16.5" x14ac:dyDescent="0.25">
      <c r="B9" s="3">
        <f t="shared" si="0"/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1450000</v>
      </c>
      <c r="I9" s="10">
        <f>H9*$E$25</f>
        <v>870000</v>
      </c>
      <c r="J9" s="3" t="s">
        <v>69</v>
      </c>
      <c r="K9" s="2"/>
      <c r="L9" s="2"/>
      <c r="M9" s="12"/>
    </row>
    <row r="10" spans="2:13" ht="16.5" x14ac:dyDescent="0.25">
      <c r="B10" s="3">
        <f t="shared" si="0"/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1700000</v>
      </c>
      <c r="I10" s="10">
        <f>H10*$E$25</f>
        <v>1020000</v>
      </c>
      <c r="J10" s="3" t="s">
        <v>69</v>
      </c>
      <c r="K10" s="2"/>
      <c r="L10" s="2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1950000</v>
      </c>
      <c r="I11" s="10">
        <f>H11*$E$25</f>
        <v>1170000</v>
      </c>
      <c r="J11" s="29" t="s">
        <v>26</v>
      </c>
      <c r="K11" s="2"/>
      <c r="L11" s="2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1955000</v>
      </c>
      <c r="I12" s="10">
        <f>H12*$E$25</f>
        <v>1173000</v>
      </c>
      <c r="J12" s="3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1720000</v>
      </c>
      <c r="I13" s="10">
        <v>1030000</v>
      </c>
      <c r="J13" s="3" t="s">
        <v>69</v>
      </c>
      <c r="K13" s="2"/>
      <c r="L13" s="2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1750000</v>
      </c>
      <c r="I14" s="10">
        <f t="shared" ref="I14:I19" si="1">H14*$E$25</f>
        <v>1050000</v>
      </c>
      <c r="J14" s="3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1750000</v>
      </c>
      <c r="I15" s="10">
        <f t="shared" si="1"/>
        <v>1050000</v>
      </c>
      <c r="J15" s="3" t="s">
        <v>69</v>
      </c>
      <c r="K15" s="2"/>
      <c r="L15" s="2"/>
      <c r="M15" s="12"/>
    </row>
    <row r="16" spans="2:13" ht="16.5" x14ac:dyDescent="0.25">
      <c r="B16" s="3">
        <f t="shared" si="0"/>
        <v>10</v>
      </c>
      <c r="C16" s="11" t="s">
        <v>46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1710000</v>
      </c>
      <c r="I16" s="10">
        <f t="shared" si="1"/>
        <v>1026000</v>
      </c>
      <c r="J16" s="3" t="s">
        <v>69</v>
      </c>
      <c r="K16" s="2"/>
      <c r="L16" s="2"/>
      <c r="M16" s="12"/>
    </row>
    <row r="17" spans="2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1760000</v>
      </c>
      <c r="I17" s="10">
        <f t="shared" si="1"/>
        <v>1056000</v>
      </c>
      <c r="J17" s="3" t="s">
        <v>69</v>
      </c>
      <c r="K17" s="2"/>
      <c r="L17" s="2"/>
      <c r="M17" s="12"/>
    </row>
    <row r="18" spans="2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1940000</v>
      </c>
      <c r="I18" s="10">
        <f t="shared" si="1"/>
        <v>1164000</v>
      </c>
      <c r="J18" s="29" t="s">
        <v>26</v>
      </c>
      <c r="K18" s="2"/>
      <c r="L18" s="2"/>
      <c r="M18" s="12"/>
    </row>
    <row r="19" spans="2:13" ht="16.5" x14ac:dyDescent="0.25">
      <c r="B19" s="3">
        <f t="shared" si="0"/>
        <v>13</v>
      </c>
      <c r="C19" s="15" t="s">
        <v>52</v>
      </c>
      <c r="D19" s="8" t="s">
        <v>54</v>
      </c>
      <c r="E19" s="37" t="s">
        <v>74</v>
      </c>
      <c r="F19" s="8" t="s">
        <v>53</v>
      </c>
      <c r="G19" s="14" t="s">
        <v>35</v>
      </c>
      <c r="H19" s="10">
        <v>3235000</v>
      </c>
      <c r="I19" s="10">
        <f t="shared" si="1"/>
        <v>1941000</v>
      </c>
      <c r="J19" s="3" t="s">
        <v>69</v>
      </c>
      <c r="K19" s="2"/>
      <c r="L19" s="32"/>
      <c r="M19" s="12"/>
    </row>
    <row r="20" spans="2:13" ht="16.5" x14ac:dyDescent="0.25">
      <c r="B20" s="3">
        <f t="shared" si="0"/>
        <v>14</v>
      </c>
      <c r="C20" s="11"/>
      <c r="D20" s="7"/>
      <c r="E20" s="7"/>
      <c r="F20" s="7"/>
      <c r="G20" s="7"/>
      <c r="H20" s="10"/>
      <c r="I20" s="10"/>
      <c r="J20" s="3"/>
      <c r="K20" s="2"/>
      <c r="L20" s="2"/>
      <c r="M20" s="12"/>
    </row>
    <row r="21" spans="2:13" ht="16.5" x14ac:dyDescent="0.25">
      <c r="B21" s="3">
        <f t="shared" si="0"/>
        <v>15</v>
      </c>
      <c r="C21" s="16"/>
      <c r="D21" s="3"/>
      <c r="E21" s="3"/>
      <c r="F21" s="3"/>
      <c r="G21" s="3"/>
      <c r="H21" s="3"/>
      <c r="I21" s="10"/>
      <c r="J21" s="3"/>
      <c r="K21" s="2"/>
      <c r="L21" s="2"/>
      <c r="M21" s="12"/>
    </row>
    <row r="22" spans="2:13" ht="16.5" x14ac:dyDescent="0.25">
      <c r="B22" s="3">
        <f t="shared" si="0"/>
        <v>16</v>
      </c>
      <c r="C22" s="3" t="s">
        <v>68</v>
      </c>
      <c r="D22" s="3"/>
      <c r="E22" s="3"/>
      <c r="F22" s="3"/>
      <c r="G22" s="3"/>
      <c r="H22" s="3"/>
      <c r="I22" s="6" t="str">
        <f>IF(ISNUMBER(H22),H22/2,"")</f>
        <v/>
      </c>
      <c r="J22" s="3"/>
      <c r="K22" s="2"/>
      <c r="L22" s="2"/>
      <c r="M22" s="12"/>
    </row>
    <row r="23" spans="2:13" ht="16.5" x14ac:dyDescent="0.25">
      <c r="B23" s="3">
        <f t="shared" si="0"/>
        <v>17</v>
      </c>
      <c r="C23" s="3" t="s">
        <v>6</v>
      </c>
      <c r="D23" s="3"/>
      <c r="E23" s="3"/>
      <c r="F23" s="3"/>
      <c r="G23" s="3"/>
      <c r="H23" s="3"/>
      <c r="I23" s="6" t="str">
        <f>IF(ISNUMBER(H23),H23/2,"")</f>
        <v/>
      </c>
      <c r="J23" s="3"/>
      <c r="K23" s="2"/>
      <c r="L23" s="2"/>
      <c r="M23" s="12"/>
    </row>
    <row r="25" spans="2:13" ht="22.5" x14ac:dyDescent="0.3">
      <c r="D25" s="23" t="s">
        <v>65</v>
      </c>
      <c r="E25" s="24">
        <v>0.6</v>
      </c>
      <c r="F25" s="25" t="s">
        <v>66</v>
      </c>
      <c r="H25" s="46" t="s">
        <v>29</v>
      </c>
      <c r="I25" s="46"/>
      <c r="J25" s="9">
        <f>SUM(H7:H1000)</f>
        <v>24820000</v>
      </c>
    </row>
    <row r="26" spans="2:13" ht="22.5" x14ac:dyDescent="0.3">
      <c r="H26" s="46" t="s">
        <v>30</v>
      </c>
      <c r="I26" s="46"/>
      <c r="J26" s="9">
        <f>SUM(I7:I1000)</f>
        <v>14390000</v>
      </c>
    </row>
    <row r="42" spans="2:2" x14ac:dyDescent="0.25">
      <c r="B42" s="22" t="s">
        <v>58</v>
      </c>
    </row>
    <row r="43" spans="2:2" ht="16.5" x14ac:dyDescent="0.25">
      <c r="B43" s="17" t="s">
        <v>14</v>
      </c>
    </row>
    <row r="44" spans="2:2" ht="16.5" x14ac:dyDescent="0.25">
      <c r="B44" s="18" t="s">
        <v>16</v>
      </c>
    </row>
    <row r="45" spans="2:2" ht="16.5" x14ac:dyDescent="0.25">
      <c r="B45" s="17" t="s">
        <v>17</v>
      </c>
    </row>
    <row r="46" spans="2:2" ht="16.5" x14ac:dyDescent="0.25">
      <c r="B46" s="18" t="s">
        <v>48</v>
      </c>
    </row>
    <row r="47" spans="2:2" ht="16.5" x14ac:dyDescent="0.25">
      <c r="B47" s="17" t="s">
        <v>19</v>
      </c>
    </row>
    <row r="48" spans="2:2" ht="16.5" x14ac:dyDescent="0.25">
      <c r="B48" s="19" t="s">
        <v>56</v>
      </c>
    </row>
    <row r="49" spans="2:2" ht="16.5" x14ac:dyDescent="0.25">
      <c r="B49" s="20" t="s">
        <v>22</v>
      </c>
    </row>
    <row r="50" spans="2:2" ht="16.5" x14ac:dyDescent="0.25">
      <c r="B50" s="19" t="s">
        <v>32</v>
      </c>
    </row>
    <row r="51" spans="2:2" ht="16.5" x14ac:dyDescent="0.25">
      <c r="B51" s="20" t="s">
        <v>25</v>
      </c>
    </row>
    <row r="52" spans="2:2" ht="16.5" x14ac:dyDescent="0.25">
      <c r="B52" s="19" t="s">
        <v>27</v>
      </c>
    </row>
    <row r="53" spans="2:2" ht="16.5" x14ac:dyDescent="0.25">
      <c r="B53" s="20" t="s">
        <v>57</v>
      </c>
    </row>
    <row r="54" spans="2:2" ht="16.5" x14ac:dyDescent="0.25">
      <c r="B54" s="19" t="s">
        <v>36</v>
      </c>
    </row>
    <row r="55" spans="2:2" ht="16.5" x14ac:dyDescent="0.25">
      <c r="B55" s="21" t="s">
        <v>35</v>
      </c>
    </row>
  </sheetData>
  <sheetProtection sheet="1" objects="1" scenarios="1"/>
  <mergeCells count="4">
    <mergeCell ref="B2:K2"/>
    <mergeCell ref="B3:K3"/>
    <mergeCell ref="H25:I25"/>
    <mergeCell ref="H26:I26"/>
  </mergeCells>
  <phoneticPr fontId="2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5E95-9A1F-428C-A980-7358A9B2F390}">
  <sheetPr codeName="Sheet5"/>
  <dimension ref="A2:M56"/>
  <sheetViews>
    <sheetView zoomScale="85" zoomScaleNormal="85" workbookViewId="0">
      <selection activeCell="I7" sqref="I7"/>
    </sheetView>
  </sheetViews>
  <sheetFormatPr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43" t="s">
        <v>31</v>
      </c>
      <c r="C2" s="43"/>
      <c r="D2" s="43"/>
      <c r="E2" s="43"/>
      <c r="F2" s="43"/>
      <c r="G2" s="43"/>
      <c r="H2" s="43"/>
      <c r="I2" s="43"/>
      <c r="J2" s="43"/>
      <c r="K2" s="43"/>
    </row>
    <row r="3" spans="2:13" ht="30.75" x14ac:dyDescent="0.25">
      <c r="B3" s="44" t="s">
        <v>77</v>
      </c>
      <c r="C3" s="45"/>
      <c r="D3" s="45"/>
      <c r="E3" s="45"/>
      <c r="F3" s="45"/>
      <c r="G3" s="45"/>
      <c r="H3" s="45"/>
      <c r="I3" s="45"/>
      <c r="J3" s="45"/>
      <c r="K3" s="4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1720000</v>
      </c>
      <c r="I7" s="10">
        <v>1020000</v>
      </c>
      <c r="J7" s="16" t="s">
        <v>69</v>
      </c>
      <c r="K7" s="2"/>
      <c r="L7" s="2"/>
      <c r="M7" s="12"/>
    </row>
    <row r="8" spans="2:13" ht="16.5" x14ac:dyDescent="0.25">
      <c r="B8" s="3">
        <f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2500000</v>
      </c>
      <c r="I8" s="10">
        <f>H8*$E$26</f>
        <v>1500000</v>
      </c>
      <c r="J8" s="39" t="s">
        <v>26</v>
      </c>
      <c r="K8" s="33" t="s">
        <v>72</v>
      </c>
      <c r="L8" s="35"/>
      <c r="M8" s="12"/>
    </row>
    <row r="9" spans="2:13" ht="16.5" x14ac:dyDescent="0.25">
      <c r="B9" s="3">
        <f>B8 +1</f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2080000</v>
      </c>
      <c r="I9" s="10">
        <v>1250000</v>
      </c>
      <c r="J9" s="16" t="s">
        <v>69</v>
      </c>
      <c r="K9" s="2"/>
      <c r="L9" s="2"/>
      <c r="M9" s="12"/>
    </row>
    <row r="10" spans="2:13" ht="16.5" x14ac:dyDescent="0.25">
      <c r="B10" s="3">
        <f t="shared" ref="B10:B24" si="0">B9 +1</f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1760000</v>
      </c>
      <c r="I10" s="10">
        <f t="shared" ref="I10:I21" si="1">H10*$E$26</f>
        <v>1056000</v>
      </c>
      <c r="J10" s="16" t="s">
        <v>69</v>
      </c>
      <c r="K10" s="2"/>
      <c r="L10" s="16"/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1950000</v>
      </c>
      <c r="I11" s="10">
        <f t="shared" si="1"/>
        <v>1170000</v>
      </c>
      <c r="J11" s="39" t="s">
        <v>26</v>
      </c>
      <c r="K11" s="33" t="s">
        <v>72</v>
      </c>
      <c r="L11" s="35"/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1975000</v>
      </c>
      <c r="I12" s="10">
        <f t="shared" si="1"/>
        <v>1185000</v>
      </c>
      <c r="J12" s="16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2050000</v>
      </c>
      <c r="I13" s="10">
        <f t="shared" si="1"/>
        <v>1230000</v>
      </c>
      <c r="J13" s="16" t="s">
        <v>69</v>
      </c>
      <c r="K13" s="33" t="s">
        <v>72</v>
      </c>
      <c r="L13" s="35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2200000</v>
      </c>
      <c r="I14" s="10">
        <f t="shared" si="1"/>
        <v>1320000</v>
      </c>
      <c r="J14" s="16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1870000</v>
      </c>
      <c r="I15" s="10">
        <f t="shared" si="1"/>
        <v>1122000</v>
      </c>
      <c r="J15" s="16" t="s">
        <v>69</v>
      </c>
      <c r="K15" s="2"/>
      <c r="L15" s="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2130000</v>
      </c>
      <c r="I16" s="10">
        <f t="shared" si="1"/>
        <v>1278000</v>
      </c>
      <c r="J16" s="16" t="s">
        <v>69</v>
      </c>
      <c r="K16" s="2"/>
      <c r="L16" s="35"/>
      <c r="M16" s="12"/>
    </row>
    <row r="17" spans="1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1730000</v>
      </c>
      <c r="I17" s="10">
        <v>1080000</v>
      </c>
      <c r="J17" s="16" t="s">
        <v>69</v>
      </c>
      <c r="K17" s="2"/>
      <c r="L17" s="2"/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2190000</v>
      </c>
      <c r="I18" s="10">
        <v>1315000</v>
      </c>
      <c r="J18" s="39" t="s">
        <v>26</v>
      </c>
      <c r="K18" s="33" t="s">
        <v>72</v>
      </c>
      <c r="L18" s="35"/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7" t="s">
        <v>74</v>
      </c>
      <c r="F19" s="8" t="s">
        <v>53</v>
      </c>
      <c r="G19" s="14" t="s">
        <v>35</v>
      </c>
      <c r="H19" s="10">
        <v>2080000</v>
      </c>
      <c r="I19" s="10">
        <v>1250000</v>
      </c>
      <c r="J19" s="16" t="s">
        <v>69</v>
      </c>
      <c r="K19" s="2"/>
      <c r="L19" s="2"/>
      <c r="M19" s="12"/>
    </row>
    <row r="20" spans="1:13" ht="16.5" x14ac:dyDescent="0.25">
      <c r="A20" s="30" t="s">
        <v>71</v>
      </c>
      <c r="B20" s="31">
        <f t="shared" si="0"/>
        <v>14</v>
      </c>
      <c r="C20" s="36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1750000</v>
      </c>
      <c r="I20" s="10">
        <v>880000</v>
      </c>
      <c r="J20" s="39" t="s">
        <v>26</v>
      </c>
      <c r="K20" s="35"/>
      <c r="L20" s="35"/>
      <c r="M20" s="12"/>
    </row>
    <row r="21" spans="1:13" ht="16.5" x14ac:dyDescent="0.25">
      <c r="A21" s="30" t="s">
        <v>71</v>
      </c>
      <c r="B21" s="31">
        <f>B20 +1</f>
        <v>15</v>
      </c>
      <c r="C21" s="36" t="s">
        <v>81</v>
      </c>
      <c r="D21" s="3" t="s">
        <v>76</v>
      </c>
      <c r="E21" s="3">
        <v>89201007075</v>
      </c>
      <c r="F21" s="3" t="s">
        <v>18</v>
      </c>
      <c r="G21" s="37" t="s">
        <v>84</v>
      </c>
      <c r="H21" s="10">
        <v>1150000</v>
      </c>
      <c r="I21" s="10">
        <f t="shared" si="1"/>
        <v>690000</v>
      </c>
      <c r="J21" s="16" t="s">
        <v>69</v>
      </c>
      <c r="K21" s="2"/>
      <c r="L21" s="35"/>
      <c r="M21" s="12"/>
    </row>
    <row r="22" spans="1:13" ht="16.5" x14ac:dyDescent="0.25">
      <c r="B22" s="3">
        <f t="shared" si="0"/>
        <v>16</v>
      </c>
      <c r="C22" s="3" t="s">
        <v>6</v>
      </c>
      <c r="D22" s="3" t="s">
        <v>6</v>
      </c>
      <c r="E22" s="3" t="s">
        <v>6</v>
      </c>
      <c r="F22" s="3" t="s">
        <v>6</v>
      </c>
      <c r="G22" s="14" t="s">
        <v>82</v>
      </c>
      <c r="H22" s="3" t="s">
        <v>6</v>
      </c>
      <c r="I22" s="3" t="s">
        <v>6</v>
      </c>
      <c r="J22" s="3" t="s">
        <v>6</v>
      </c>
      <c r="K22" s="2"/>
      <c r="L22" s="2"/>
      <c r="M22" s="12"/>
    </row>
    <row r="23" spans="1:13" ht="16.5" x14ac:dyDescent="0.25">
      <c r="B23" s="3">
        <f t="shared" si="0"/>
        <v>17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>
        <f t="shared" si="0"/>
        <v>18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73</v>
      </c>
      <c r="H24" s="3" t="s">
        <v>6</v>
      </c>
      <c r="I24" s="3" t="s">
        <v>6</v>
      </c>
      <c r="J24" s="3" t="s">
        <v>6</v>
      </c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46" t="s">
        <v>29</v>
      </c>
      <c r="I26" s="46"/>
      <c r="J26" s="9">
        <f>SUM(H7:H1001)</f>
        <v>29135000</v>
      </c>
    </row>
    <row r="27" spans="1:13" ht="22.5" x14ac:dyDescent="0.3">
      <c r="H27" s="46" t="s">
        <v>30</v>
      </c>
      <c r="I27" s="46"/>
      <c r="J27" s="9">
        <f>SUM(I7:I1001)</f>
        <v>17346000</v>
      </c>
    </row>
    <row r="40" spans="2:3" x14ac:dyDescent="0.25">
      <c r="C40" s="34" t="s">
        <v>78</v>
      </c>
    </row>
    <row r="43" spans="2:3" x14ac:dyDescent="0.25">
      <c r="B43" s="22" t="s">
        <v>58</v>
      </c>
    </row>
    <row r="44" spans="2:3" ht="16.5" x14ac:dyDescent="0.25">
      <c r="B44" s="17" t="s">
        <v>14</v>
      </c>
    </row>
    <row r="45" spans="2:3" ht="16.5" x14ac:dyDescent="0.25">
      <c r="B45" s="18" t="s">
        <v>16</v>
      </c>
    </row>
    <row r="46" spans="2:3" ht="16.5" x14ac:dyDescent="0.25">
      <c r="B46" s="17" t="s">
        <v>17</v>
      </c>
    </row>
    <row r="47" spans="2:3" ht="16.5" x14ac:dyDescent="0.25">
      <c r="B47" s="18" t="s">
        <v>48</v>
      </c>
    </row>
    <row r="48" spans="2:3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mergeCells count="4">
    <mergeCell ref="B2:K2"/>
    <mergeCell ref="B3:K3"/>
    <mergeCell ref="H26:I26"/>
    <mergeCell ref="H27:I27"/>
  </mergeCells>
  <phoneticPr fontId="2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16DB-42BB-432B-9938-04B7FA91672A}">
  <sheetPr codeName="Sheet1"/>
  <dimension ref="A2:M56"/>
  <sheetViews>
    <sheetView tabSelected="1" zoomScale="85" zoomScaleNormal="85" workbookViewId="0">
      <selection activeCell="J20" sqref="J20"/>
    </sheetView>
  </sheetViews>
  <sheetFormatPr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6.5703125" style="1" customWidth="1"/>
    <col min="5" max="5" width="16" style="1" customWidth="1"/>
    <col min="6" max="6" width="25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hidden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43" t="s">
        <v>31</v>
      </c>
      <c r="C2" s="43"/>
      <c r="D2" s="43"/>
      <c r="E2" s="43"/>
      <c r="F2" s="43"/>
      <c r="G2" s="43"/>
      <c r="H2" s="43"/>
      <c r="I2" s="43"/>
      <c r="J2" s="43"/>
      <c r="K2" s="43"/>
    </row>
    <row r="3" spans="2:13" ht="30.75" x14ac:dyDescent="0.25">
      <c r="B3" s="44" t="s">
        <v>85</v>
      </c>
      <c r="C3" s="45"/>
      <c r="D3" s="45"/>
      <c r="E3" s="45"/>
      <c r="F3" s="45"/>
      <c r="G3" s="45"/>
      <c r="H3" s="45"/>
      <c r="I3" s="45"/>
      <c r="J3" s="45"/>
      <c r="K3" s="45"/>
    </row>
    <row r="4" spans="2:13" x14ac:dyDescent="0.25">
      <c r="J4" s="26"/>
    </row>
    <row r="6" spans="2:13" ht="20.25" x14ac:dyDescent="0.3">
      <c r="B6" s="5" t="s">
        <v>0</v>
      </c>
      <c r="C6" s="5" t="s">
        <v>1</v>
      </c>
      <c r="D6" s="5" t="s">
        <v>50</v>
      </c>
      <c r="E6" s="5" t="s">
        <v>2</v>
      </c>
      <c r="F6" s="5" t="s">
        <v>3</v>
      </c>
      <c r="G6" s="5" t="s">
        <v>49</v>
      </c>
      <c r="H6" s="5" t="s">
        <v>4</v>
      </c>
      <c r="I6" s="5" t="s">
        <v>20</v>
      </c>
      <c r="J6" s="5" t="s">
        <v>7</v>
      </c>
      <c r="K6" s="5" t="s">
        <v>5</v>
      </c>
      <c r="L6" s="5" t="s">
        <v>34</v>
      </c>
      <c r="M6" s="5" t="s">
        <v>51</v>
      </c>
    </row>
    <row r="7" spans="2:13" ht="16.5" x14ac:dyDescent="0.25">
      <c r="B7" s="3">
        <v>1</v>
      </c>
      <c r="C7" s="11" t="s">
        <v>40</v>
      </c>
      <c r="D7" s="3" t="s">
        <v>8</v>
      </c>
      <c r="E7" s="4">
        <v>38096003688</v>
      </c>
      <c r="F7" s="3" t="s">
        <v>13</v>
      </c>
      <c r="G7" s="3" t="s">
        <v>14</v>
      </c>
      <c r="H7" s="10">
        <v>2420000</v>
      </c>
      <c r="I7" s="10">
        <v>1390000</v>
      </c>
      <c r="J7" s="16" t="s">
        <v>69</v>
      </c>
      <c r="K7" s="2"/>
      <c r="L7" s="2"/>
      <c r="M7" s="12"/>
    </row>
    <row r="8" spans="2:13" ht="16.5" x14ac:dyDescent="0.25">
      <c r="B8" s="3">
        <f>B7 +1</f>
        <v>2</v>
      </c>
      <c r="C8" s="11" t="s">
        <v>38</v>
      </c>
      <c r="D8" s="3" t="s">
        <v>9</v>
      </c>
      <c r="E8" s="4">
        <v>91203011680</v>
      </c>
      <c r="F8" s="3" t="s">
        <v>15</v>
      </c>
      <c r="G8" s="3" t="s">
        <v>16</v>
      </c>
      <c r="H8" s="10">
        <v>2610000</v>
      </c>
      <c r="I8" s="10">
        <f>H8*$E$26</f>
        <v>1566000</v>
      </c>
      <c r="J8" s="41" t="s">
        <v>86</v>
      </c>
      <c r="K8" s="33" t="s">
        <v>72</v>
      </c>
      <c r="L8" s="41" t="s">
        <v>86</v>
      </c>
      <c r="M8" s="12"/>
    </row>
    <row r="9" spans="2:13" ht="16.5" x14ac:dyDescent="0.25">
      <c r="B9" s="3">
        <f>B8 +1</f>
        <v>3</v>
      </c>
      <c r="C9" s="11" t="s">
        <v>41</v>
      </c>
      <c r="D9" s="3" t="s">
        <v>10</v>
      </c>
      <c r="E9" s="4">
        <v>89078016404</v>
      </c>
      <c r="F9" s="3" t="s">
        <v>18</v>
      </c>
      <c r="G9" s="3" t="s">
        <v>17</v>
      </c>
      <c r="H9" s="10">
        <v>2080000</v>
      </c>
      <c r="I9" s="10">
        <v>1250000</v>
      </c>
      <c r="J9" s="16" t="s">
        <v>69</v>
      </c>
      <c r="K9" s="2"/>
      <c r="L9" s="2"/>
      <c r="M9" s="12"/>
    </row>
    <row r="10" spans="2:13" ht="33" x14ac:dyDescent="0.25">
      <c r="B10" s="3">
        <f t="shared" ref="B10:B24" si="0">B9 +1</f>
        <v>4</v>
      </c>
      <c r="C10" s="11" t="s">
        <v>67</v>
      </c>
      <c r="D10" s="3" t="s">
        <v>11</v>
      </c>
      <c r="E10" s="4">
        <v>89099008054</v>
      </c>
      <c r="F10" s="3" t="s">
        <v>18</v>
      </c>
      <c r="G10" s="3" t="s">
        <v>48</v>
      </c>
      <c r="H10" s="10">
        <v>1850000</v>
      </c>
      <c r="I10" s="10">
        <f t="shared" ref="I10:I20" si="1">H10*$E$26</f>
        <v>1110000</v>
      </c>
      <c r="J10" s="41" t="s">
        <v>86</v>
      </c>
      <c r="K10" s="41" t="s">
        <v>86</v>
      </c>
      <c r="L10" s="42" t="s">
        <v>87</v>
      </c>
      <c r="M10" s="12"/>
    </row>
    <row r="11" spans="2:13" ht="16.5" x14ac:dyDescent="0.25">
      <c r="B11" s="3">
        <f t="shared" si="0"/>
        <v>5</v>
      </c>
      <c r="C11" s="11" t="s">
        <v>39</v>
      </c>
      <c r="D11" s="4" t="s">
        <v>12</v>
      </c>
      <c r="E11" s="4">
        <v>91088020664</v>
      </c>
      <c r="F11" s="3" t="s">
        <v>15</v>
      </c>
      <c r="G11" s="3" t="s">
        <v>19</v>
      </c>
      <c r="H11" s="10">
        <v>2500000</v>
      </c>
      <c r="I11" s="10">
        <f t="shared" si="1"/>
        <v>1500000</v>
      </c>
      <c r="J11" s="41" t="s">
        <v>86</v>
      </c>
      <c r="K11" s="33" t="s">
        <v>72</v>
      </c>
      <c r="L11" s="41" t="s">
        <v>86</v>
      </c>
      <c r="M11" s="12"/>
    </row>
    <row r="12" spans="2:13" ht="16.5" x14ac:dyDescent="0.25">
      <c r="B12" s="3">
        <f t="shared" si="0"/>
        <v>6</v>
      </c>
      <c r="C12" s="11" t="s">
        <v>42</v>
      </c>
      <c r="D12" s="8" t="s">
        <v>59</v>
      </c>
      <c r="E12" s="8">
        <v>89082022656</v>
      </c>
      <c r="F12" s="8" t="s">
        <v>18</v>
      </c>
      <c r="G12" s="8" t="s">
        <v>56</v>
      </c>
      <c r="H12" s="10">
        <v>2220000</v>
      </c>
      <c r="I12" s="10">
        <f t="shared" si="1"/>
        <v>1332000</v>
      </c>
      <c r="J12" s="16" t="s">
        <v>69</v>
      </c>
      <c r="K12" s="2"/>
      <c r="L12" s="2"/>
      <c r="M12" s="13"/>
    </row>
    <row r="13" spans="2:13" ht="16.5" x14ac:dyDescent="0.25">
      <c r="B13" s="3">
        <f t="shared" si="0"/>
        <v>7</v>
      </c>
      <c r="C13" s="11" t="s">
        <v>43</v>
      </c>
      <c r="D13" s="8" t="s">
        <v>23</v>
      </c>
      <c r="E13" s="8">
        <v>42088019031</v>
      </c>
      <c r="F13" s="8" t="s">
        <v>21</v>
      </c>
      <c r="G13" s="8" t="s">
        <v>22</v>
      </c>
      <c r="H13" s="10">
        <v>1880000</v>
      </c>
      <c r="I13" s="10">
        <f t="shared" si="1"/>
        <v>1128000</v>
      </c>
      <c r="J13" s="16" t="s">
        <v>69</v>
      </c>
      <c r="K13" s="33" t="s">
        <v>72</v>
      </c>
      <c r="L13" s="35"/>
      <c r="M13" s="12"/>
    </row>
    <row r="14" spans="2:13" ht="16.5" x14ac:dyDescent="0.25">
      <c r="B14" s="3">
        <f t="shared" si="0"/>
        <v>8</v>
      </c>
      <c r="C14" s="11" t="s">
        <v>44</v>
      </c>
      <c r="D14" s="8" t="s">
        <v>33</v>
      </c>
      <c r="E14" s="8">
        <v>49202008987</v>
      </c>
      <c r="F14" s="8" t="s">
        <v>15</v>
      </c>
      <c r="G14" s="8" t="s">
        <v>32</v>
      </c>
      <c r="H14" s="10">
        <v>2245000</v>
      </c>
      <c r="I14" s="10">
        <v>1392000</v>
      </c>
      <c r="J14" s="16" t="s">
        <v>69</v>
      </c>
      <c r="K14" s="2"/>
      <c r="L14" s="2"/>
      <c r="M14" s="13"/>
    </row>
    <row r="15" spans="2:13" ht="16.5" x14ac:dyDescent="0.25">
      <c r="B15" s="3">
        <f t="shared" si="0"/>
        <v>9</v>
      </c>
      <c r="C15" s="11" t="s">
        <v>45</v>
      </c>
      <c r="D15" s="8" t="s">
        <v>24</v>
      </c>
      <c r="E15" s="8">
        <v>93097001330</v>
      </c>
      <c r="F15" s="8" t="s">
        <v>60</v>
      </c>
      <c r="G15" s="8" t="s">
        <v>25</v>
      </c>
      <c r="H15" s="10">
        <v>1780000</v>
      </c>
      <c r="I15" s="10">
        <f t="shared" si="1"/>
        <v>1068000</v>
      </c>
      <c r="J15" s="16" t="s">
        <v>69</v>
      </c>
      <c r="K15" s="2"/>
      <c r="L15" s="2"/>
      <c r="M15" s="12"/>
    </row>
    <row r="16" spans="2:13" ht="16.5" x14ac:dyDescent="0.25">
      <c r="B16" s="3">
        <f t="shared" si="0"/>
        <v>10</v>
      </c>
      <c r="C16" s="11" t="s">
        <v>79</v>
      </c>
      <c r="D16" s="8" t="s">
        <v>61</v>
      </c>
      <c r="E16" s="8">
        <v>95095009661</v>
      </c>
      <c r="F16" s="8" t="s">
        <v>62</v>
      </c>
      <c r="G16" s="8" t="s">
        <v>27</v>
      </c>
      <c r="H16" s="10">
        <v>2130000</v>
      </c>
      <c r="I16" s="10">
        <f t="shared" si="1"/>
        <v>1278000</v>
      </c>
      <c r="J16" s="16" t="s">
        <v>69</v>
      </c>
      <c r="K16" s="2"/>
      <c r="L16" s="35"/>
      <c r="M16" s="12"/>
    </row>
    <row r="17" spans="1:13" ht="16.5" x14ac:dyDescent="0.25">
      <c r="B17" s="3">
        <f t="shared" si="0"/>
        <v>11</v>
      </c>
      <c r="C17" s="11" t="s">
        <v>47</v>
      </c>
      <c r="D17" s="8" t="s">
        <v>63</v>
      </c>
      <c r="E17" s="8">
        <v>80083017871</v>
      </c>
      <c r="F17" s="8" t="s">
        <v>64</v>
      </c>
      <c r="G17" s="8" t="s">
        <v>57</v>
      </c>
      <c r="H17" s="10">
        <v>2245000</v>
      </c>
      <c r="I17" s="10">
        <f t="shared" si="1"/>
        <v>1347000</v>
      </c>
      <c r="J17" s="16" t="s">
        <v>69</v>
      </c>
      <c r="K17" s="2"/>
      <c r="L17" s="2"/>
      <c r="M17" s="12"/>
    </row>
    <row r="18" spans="1:13" ht="16.5" x14ac:dyDescent="0.25">
      <c r="B18" s="3">
        <f t="shared" si="0"/>
        <v>12</v>
      </c>
      <c r="C18" s="11" t="s">
        <v>37</v>
      </c>
      <c r="D18" s="8" t="s">
        <v>28</v>
      </c>
      <c r="E18" s="8">
        <v>42094001136</v>
      </c>
      <c r="F18" s="8" t="s">
        <v>15</v>
      </c>
      <c r="G18" s="8" t="s">
        <v>36</v>
      </c>
      <c r="H18" s="10">
        <v>2520000</v>
      </c>
      <c r="I18" s="10">
        <f t="shared" si="1"/>
        <v>1512000</v>
      </c>
      <c r="J18" s="41" t="s">
        <v>86</v>
      </c>
      <c r="K18" s="33" t="s">
        <v>72</v>
      </c>
      <c r="L18" s="41" t="s">
        <v>86</v>
      </c>
      <c r="M18" s="12"/>
    </row>
    <row r="19" spans="1:13" ht="16.5" x14ac:dyDescent="0.25">
      <c r="B19" s="3">
        <f t="shared" si="0"/>
        <v>13</v>
      </c>
      <c r="C19" s="15" t="s">
        <v>52</v>
      </c>
      <c r="D19" s="8" t="s">
        <v>54</v>
      </c>
      <c r="E19" s="7" t="s">
        <v>74</v>
      </c>
      <c r="F19" s="8" t="s">
        <v>53</v>
      </c>
      <c r="G19" s="14" t="s">
        <v>35</v>
      </c>
      <c r="H19" s="10">
        <v>1880000</v>
      </c>
      <c r="I19" s="10">
        <v>1130000</v>
      </c>
      <c r="J19" s="16" t="s">
        <v>69</v>
      </c>
      <c r="K19" s="2"/>
      <c r="L19" s="2"/>
      <c r="M19" s="12"/>
    </row>
    <row r="20" spans="1:13" ht="16.5" x14ac:dyDescent="0.25">
      <c r="A20" s="40"/>
      <c r="B20" s="3">
        <f t="shared" si="0"/>
        <v>14</v>
      </c>
      <c r="C20" s="11" t="s">
        <v>80</v>
      </c>
      <c r="D20" s="3" t="s">
        <v>75</v>
      </c>
      <c r="E20" s="8">
        <v>38085004911</v>
      </c>
      <c r="F20" s="8" t="s">
        <v>13</v>
      </c>
      <c r="G20" s="14" t="s">
        <v>73</v>
      </c>
      <c r="H20" s="10">
        <v>2100000</v>
      </c>
      <c r="I20" s="10">
        <v>1050000</v>
      </c>
      <c r="J20" s="47" t="s">
        <v>26</v>
      </c>
      <c r="K20" s="35"/>
      <c r="L20" s="48"/>
      <c r="M20" s="12"/>
    </row>
    <row r="21" spans="1:13" ht="16.5" x14ac:dyDescent="0.25">
      <c r="A21" s="40"/>
      <c r="B21" s="3">
        <f>B20 +1</f>
        <v>15</v>
      </c>
      <c r="C21" s="11" t="s">
        <v>81</v>
      </c>
      <c r="D21" s="3" t="s">
        <v>76</v>
      </c>
      <c r="E21" s="3">
        <v>89201007075</v>
      </c>
      <c r="F21" s="3" t="s">
        <v>18</v>
      </c>
      <c r="G21" s="37" t="s">
        <v>84</v>
      </c>
      <c r="H21" s="10">
        <v>1710000</v>
      </c>
      <c r="I21" s="10">
        <v>1020000</v>
      </c>
      <c r="J21" s="16" t="s">
        <v>69</v>
      </c>
      <c r="K21" s="2"/>
      <c r="L21" s="2"/>
      <c r="M21" s="12"/>
    </row>
    <row r="22" spans="1:13" ht="16.5" x14ac:dyDescent="0.25">
      <c r="B22" s="3">
        <f t="shared" si="0"/>
        <v>16</v>
      </c>
      <c r="C22" s="3" t="s">
        <v>6</v>
      </c>
      <c r="D22" s="3" t="s">
        <v>6</v>
      </c>
      <c r="E22" s="3" t="s">
        <v>6</v>
      </c>
      <c r="F22" s="3" t="s">
        <v>6</v>
      </c>
      <c r="G22" s="14" t="s">
        <v>82</v>
      </c>
      <c r="H22" s="3" t="s">
        <v>6</v>
      </c>
      <c r="I22" s="3" t="s">
        <v>6</v>
      </c>
      <c r="J22" s="3" t="s">
        <v>6</v>
      </c>
      <c r="K22" s="2"/>
      <c r="L22" s="2"/>
      <c r="M22" s="12"/>
    </row>
    <row r="23" spans="1:13" ht="16.5" x14ac:dyDescent="0.25">
      <c r="B23" s="3">
        <f t="shared" si="0"/>
        <v>17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83</v>
      </c>
      <c r="H23" s="3" t="s">
        <v>6</v>
      </c>
      <c r="I23" s="3" t="s">
        <v>6</v>
      </c>
      <c r="J23" s="3" t="s">
        <v>6</v>
      </c>
      <c r="K23" s="2"/>
      <c r="L23" s="2"/>
      <c r="M23" s="12"/>
    </row>
    <row r="24" spans="1:13" ht="16.5" x14ac:dyDescent="0.25">
      <c r="B24" s="3">
        <f t="shared" si="0"/>
        <v>18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73</v>
      </c>
      <c r="H24" s="3" t="s">
        <v>6</v>
      </c>
      <c r="I24" s="3" t="s">
        <v>6</v>
      </c>
      <c r="J24" s="3" t="s">
        <v>6</v>
      </c>
      <c r="K24" s="2"/>
      <c r="L24" s="2"/>
      <c r="M24" s="12"/>
    </row>
    <row r="26" spans="1:13" ht="22.5" x14ac:dyDescent="0.3">
      <c r="D26" s="23" t="s">
        <v>65</v>
      </c>
      <c r="E26" s="24">
        <v>0.6</v>
      </c>
      <c r="F26" s="25" t="s">
        <v>66</v>
      </c>
      <c r="H26" s="46" t="s">
        <v>29</v>
      </c>
      <c r="I26" s="46"/>
      <c r="J26" s="9">
        <f>SUM(H7:H1001)</f>
        <v>32170000</v>
      </c>
    </row>
    <row r="27" spans="1:13" ht="22.5" x14ac:dyDescent="0.3">
      <c r="H27" s="46" t="s">
        <v>30</v>
      </c>
      <c r="I27" s="46"/>
      <c r="J27" s="9">
        <f>SUM(I7:I1001)</f>
        <v>19073000</v>
      </c>
    </row>
    <row r="40" spans="2:3" x14ac:dyDescent="0.25">
      <c r="C40" s="34" t="s">
        <v>78</v>
      </c>
    </row>
    <row r="43" spans="2:3" x14ac:dyDescent="0.25">
      <c r="B43" s="22" t="s">
        <v>58</v>
      </c>
    </row>
    <row r="44" spans="2:3" ht="16.5" x14ac:dyDescent="0.25">
      <c r="B44" s="17" t="s">
        <v>14</v>
      </c>
    </row>
    <row r="45" spans="2:3" ht="16.5" x14ac:dyDescent="0.25">
      <c r="B45" s="18" t="s">
        <v>16</v>
      </c>
    </row>
    <row r="46" spans="2:3" ht="16.5" x14ac:dyDescent="0.25">
      <c r="B46" s="17" t="s">
        <v>17</v>
      </c>
    </row>
    <row r="47" spans="2:3" ht="16.5" x14ac:dyDescent="0.25">
      <c r="B47" s="18" t="s">
        <v>48</v>
      </c>
    </row>
    <row r="48" spans="2:3" ht="16.5" x14ac:dyDescent="0.25">
      <c r="B48" s="17" t="s">
        <v>19</v>
      </c>
    </row>
    <row r="49" spans="2:2" ht="16.5" x14ac:dyDescent="0.25">
      <c r="B49" s="19" t="s">
        <v>56</v>
      </c>
    </row>
    <row r="50" spans="2:2" ht="16.5" x14ac:dyDescent="0.25">
      <c r="B50" s="20" t="s">
        <v>22</v>
      </c>
    </row>
    <row r="51" spans="2:2" ht="16.5" x14ac:dyDescent="0.25">
      <c r="B51" s="19" t="s">
        <v>32</v>
      </c>
    </row>
    <row r="52" spans="2:2" ht="16.5" x14ac:dyDescent="0.25">
      <c r="B52" s="20" t="s">
        <v>25</v>
      </c>
    </row>
    <row r="53" spans="2:2" ht="16.5" x14ac:dyDescent="0.25">
      <c r="B53" s="19" t="s">
        <v>27</v>
      </c>
    </row>
    <row r="54" spans="2:2" ht="16.5" x14ac:dyDescent="0.25">
      <c r="B54" s="20" t="s">
        <v>57</v>
      </c>
    </row>
    <row r="55" spans="2:2" ht="16.5" x14ac:dyDescent="0.25">
      <c r="B55" s="19" t="s">
        <v>36</v>
      </c>
    </row>
    <row r="56" spans="2:2" ht="16.5" x14ac:dyDescent="0.25">
      <c r="B56" s="21" t="s">
        <v>35</v>
      </c>
    </row>
  </sheetData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01-01</vt:lpstr>
      <vt:lpstr>02-01</vt:lpstr>
      <vt:lpstr>03-01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2026-01-04T07:29:17Z</dcterms:modified>
</cp:coreProperties>
</file>