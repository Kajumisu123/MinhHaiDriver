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43D59100-22F0-4C12-AC7B-C4FD8CBC20D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ẪU" sheetId="1" r:id="rId1"/>
    <sheet name="29-12" sheetId="2" r:id="rId2"/>
    <sheet name="30-12" sheetId="3" r:id="rId3"/>
    <sheet name="31-1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5" l="1"/>
  <c r="I10" i="5"/>
  <c r="I11" i="5"/>
  <c r="I14" i="5"/>
  <c r="I15" i="5"/>
  <c r="I16" i="5"/>
  <c r="I17" i="5"/>
  <c r="I18" i="5"/>
  <c r="I19" i="5"/>
  <c r="I20" i="5"/>
  <c r="I7" i="5"/>
  <c r="I6" i="3"/>
  <c r="I23" i="5"/>
  <c r="I22" i="5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I6" i="2"/>
  <c r="I7" i="3"/>
  <c r="I8" i="3"/>
  <c r="I10" i="3"/>
  <c r="I11" i="3"/>
  <c r="I12" i="3"/>
  <c r="I14" i="3"/>
  <c r="I15" i="3"/>
  <c r="I16" i="3"/>
  <c r="I17" i="3"/>
  <c r="I19" i="3"/>
  <c r="I8" i="2"/>
  <c r="I9" i="2"/>
  <c r="I10" i="2"/>
  <c r="I11" i="2"/>
  <c r="I14" i="2"/>
  <c r="I16" i="2"/>
  <c r="I17" i="2"/>
  <c r="I19" i="2"/>
  <c r="J25" i="3"/>
  <c r="I22" i="3"/>
  <c r="I21" i="3"/>
  <c r="I20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J25" i="2"/>
  <c r="I22" i="2"/>
  <c r="I21" i="2"/>
  <c r="I20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J25" i="1"/>
  <c r="I8" i="1"/>
  <c r="I9" i="1"/>
  <c r="I10" i="1"/>
  <c r="I11" i="1"/>
  <c r="I14" i="1"/>
  <c r="I16" i="1"/>
  <c r="I17" i="1"/>
  <c r="I19" i="1"/>
  <c r="I20" i="1"/>
  <c r="I21" i="1"/>
  <c r="I22" i="1"/>
  <c r="I6" i="1"/>
  <c r="J25" i="5" l="1"/>
  <c r="J26" i="5"/>
  <c r="J26" i="2"/>
  <c r="J26" i="3"/>
  <c r="J2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<sst xmlns="http://schemas.openxmlformats.org/spreadsheetml/2006/main" count="386" uniqueCount="76">
  <si>
    <t>STT</t>
  </si>
  <si>
    <t>HỌ TÊN</t>
  </si>
  <si>
    <t>ĐIỆN THOẠI</t>
  </si>
  <si>
    <t>CCCD</t>
  </si>
  <si>
    <t>ĐỊA CHỈ</t>
  </si>
  <si>
    <t>BIỂN SỐ XE</t>
  </si>
  <si>
    <t>DOANH THU</t>
  </si>
  <si>
    <t>BILL</t>
  </si>
  <si>
    <t>LÊ VĂN TÙNG</t>
  </si>
  <si>
    <t>ĐỖ VĂN CHUNG</t>
  </si>
  <si>
    <t>LÊ THÀNH LẬP</t>
  </si>
  <si>
    <t>NGUYỄN CHÍ BÌNH</t>
  </si>
  <si>
    <t>DO THÀNH</t>
  </si>
  <si>
    <t>HỒ SỸ ANH</t>
  </si>
  <si>
    <t>NAM DO</t>
  </si>
  <si>
    <t>NGUYỄN QUỐC NAM</t>
  </si>
  <si>
    <t>NHẤT</t>
  </si>
  <si>
    <t>TRẦN THIỆN</t>
  </si>
  <si>
    <t xml:space="preserve">THANH </t>
  </si>
  <si>
    <t>VĂN HẠNH</t>
  </si>
  <si>
    <t>HÀ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</si>
  <si>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</si>
  <si>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</si>
  <si>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</si>
  <si>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</si>
  <si>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</si>
  <si>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</si>
  <si>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</si>
  <si>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</si>
  <si>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</si>
  <si>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</si>
  <si>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</si>
  <si>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</si>
  <si>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</si>
  <si>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001.92 </t>
  </si>
  <si>
    <t>CÔNG TY TNHH DỊCH VỤ XE ĐIỆN MINH HẢI</t>
  </si>
  <si>
    <t>DOANH THU 29/12/2025</t>
  </si>
  <si>
    <t xml:space="preserve">68HC 001.89 </t>
  </si>
  <si>
    <t>#NULL</t>
  </si>
  <si>
    <t>THỰC LÃNH</t>
  </si>
  <si>
    <t>HÀ TĨNH</t>
  </si>
  <si>
    <t>68HC 001.63</t>
  </si>
  <si>
    <t>0989 272 425</t>
  </si>
  <si>
    <t>0832 565 558</t>
  </si>
  <si>
    <t>68HC 001.71</t>
  </si>
  <si>
    <t>CK</t>
  </si>
  <si>
    <t>TRƯƠNG VŨ CA (VŨ LINH)</t>
  </si>
  <si>
    <t>TM</t>
  </si>
  <si>
    <t>68HC 001.33</t>
  </si>
  <si>
    <t>0784 617 223</t>
  </si>
  <si>
    <t>TỔNG DOANH THU</t>
  </si>
  <si>
    <t>TỔNG THỰC LÃNH</t>
  </si>
  <si>
    <t>DOANH THU 30/12/2025</t>
  </si>
  <si>
    <t>QUANG HÀ</t>
  </si>
  <si>
    <t>CÔNG TY TNHH MTV VẬN TẢI VÀ DU LỊCH MINH HẢI</t>
  </si>
  <si>
    <t>DOANH THU 31/12/2025</t>
  </si>
  <si>
    <t xml:space="preserve">68HC 001.78 </t>
  </si>
  <si>
    <t>0369 922 571</t>
  </si>
  <si>
    <t>NOTE</t>
  </si>
  <si>
    <t xml:space="preserve">68HC 001.70 </t>
  </si>
  <si>
    <t>NGHỈ LUÔN SAU 31/12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</si>
  <si>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</si>
  <si>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</si>
  <si>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</si>
  <si>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</si>
  <si>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</si>
  <si>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</si>
  <si>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LÊ THÀNH LẬP (Sun)</t>
  </si>
  <si>
    <t>DO THÀNH (Sun)</t>
  </si>
  <si>
    <t>HỒ SỸ ANH (Sun)</t>
  </si>
  <si>
    <t>NAM DO (Sun)</t>
  </si>
  <si>
    <t>NGUYỄN QUỐC NAM (Sun)</t>
  </si>
  <si>
    <t>NHẤT (Sun)</t>
  </si>
  <si>
    <t>TRẦN THIỆN (Sun)</t>
  </si>
  <si>
    <t>THANH  (Sun)</t>
  </si>
  <si>
    <t>VĂN HẠNH (Sun)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</si>
</sst>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1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14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6" borderId="0" xfId="0" applyFont="1" applyFill="1"/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E08B-F339-41A7-8779-8E498408C686}" name="Table1" displayName="Table1" ref="B5:K22" totalsRowShown="0" headerRowDxfId="52" dataDxfId="51" tableBorderDxfId="50" headerRowCellStyle="Bad" dataCellStyle="Normal">
  <autoFilter ref="B5:K22" xr:uid="{D102E08B-F339-41A7-8779-8E498408C686}"/>
  <tableColumns count="10">
    <tableColumn id="1" xr3:uid="{9D6D1DC3-1CDD-4F3C-B1B7-8AB165E44568}" name="STT" dataDxfId="49" dataCellStyle="Normal"/>
    <tableColumn id="2" xr3:uid="{13E8BA06-8365-403A-B32E-04AE92B765CC}" name="HỌ TÊN" dataDxfId="48" dataCellStyle="Normal"/>
    <tableColumn id="3" xr3:uid="{FC61B8E4-BD27-46F3-88CC-BF4B927C0BEB}" name="ĐIỆN THOẠI" dataDxfId="47" dataCellStyle="Normal"/>
    <tableColumn id="4" xr3:uid="{81E95A52-D9B8-474A-8928-97CBD9B95301}" name="CCCD" dataDxfId="46" dataCellStyle="Normal"/>
    <tableColumn id="5" xr3:uid="{8271E599-3E92-445F-9654-702A3E2F6015}" name="ĐỊA CHỈ" dataDxfId="45" dataCellStyle="Normal"/>
    <tableColumn id="6" xr3:uid="{A1EE5CD9-899B-4972-8C02-79B676C0418E}" name="BIỂN SỐ XE" dataDxfId="44" dataCellStyle="Normal"/>
    <tableColumn id="7" xr3:uid="{D56A811F-8BE5-4C31-8D06-090CA9AB4EEC}" name="DOANH THU" dataDxfId="43" dataCellStyle="Normal"/>
    <tableColumn id="8" xr3:uid="{65D461C0-8662-4294-B2D4-14AFA507AEC5}" name="THỰC LÃNH" dataDxfId="42" dataCellStyle="Normal">
      <calculatedColumnFormula>IF(ISNUMBER(H6),H6/2,"")</calculatedColumnFormula>
    </tableColumn>
    <tableColumn id="9" xr3:uid="{B11AF6F4-2B2E-42F5-B282-20EB2045BFC4}" name="HÌNH THỨC" dataDxfId="41" dataCellStyle="Normal"/>
    <tableColumn id="10" xr3:uid="{188C8D09-A7C8-4D41-A663-D79A1D68DC65}" name="BILL" dataDxfId="40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B5F77-8206-4281-8C8E-867E26637324}" name="Table13" displayName="Table13" ref="B5:K22" totalsRowShown="0" headerRowDxfId="39" dataDxfId="38" tableBorderDxfId="37" headerRowCellStyle="Bad" dataCellStyle="Normal">
  <autoFilter ref="B5:K22" xr:uid="{D102E08B-F339-41A7-8779-8E498408C686}"/>
  <tableColumns count="10">
    <tableColumn id="1" xr3:uid="{577E289C-FA4B-45DF-9065-86FB333DA060}" name="STT" dataDxfId="36" dataCellStyle="Normal"/>
    <tableColumn id="2" xr3:uid="{00A3AB03-C15A-48E3-A03E-DEADAAF3C45F}" name="HỌ TÊN" dataDxfId="35" dataCellStyle="Normal"/>
    <tableColumn id="3" xr3:uid="{DB30EFAA-184F-42F5-B5EA-F4DC7049FDC3}" name="ĐIỆN THOẠI" dataDxfId="34" dataCellStyle="Normal"/>
    <tableColumn id="4" xr3:uid="{51CB11F1-3522-4E92-8A02-323DC7CA307B}" name="CCCD" dataDxfId="33" dataCellStyle="Normal"/>
    <tableColumn id="5" xr3:uid="{9B501042-1A99-4382-A5B4-8E2BA2BF8FCD}" name="ĐỊA CHỈ" dataDxfId="32" dataCellStyle="Normal"/>
    <tableColumn id="6" xr3:uid="{0BBBA286-D851-41BD-9241-E91FC9835158}" name="BIỂN SỐ XE" dataDxfId="31" dataCellStyle="Normal"/>
    <tableColumn id="7" xr3:uid="{BC5EDC90-2CAA-4DC5-ACA3-2FEF9BDCBA8F}" name="DOANH THU" dataDxfId="30" dataCellStyle="Normal"/>
    <tableColumn id="8" xr3:uid="{D2A5A478-D163-4C13-886C-1755FE4D24ED}" name="THỰC LÃNH" dataDxfId="29" dataCellStyle="Normal">
      <calculatedColumnFormula>IF(ISNUMBER(H6),H6/2,"")</calculatedColumnFormula>
    </tableColumn>
    <tableColumn id="9" xr3:uid="{E77189E1-2A05-4654-BC73-3FBCBFAA3420}" name="HÌNH THỨC" dataDxfId="28" dataCellStyle="Normal"/>
    <tableColumn id="10" xr3:uid="{FB8F71AD-AFA1-4E72-BFE4-FC62250EC925}" name="BILL" dataDxfId="27" dataCellStyle="Norm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177D1-1013-401B-BB7F-CF915DE63325}" name="Table14" displayName="Table14" ref="B5:K22" totalsRowShown="0" headerRowDxfId="26" dataDxfId="25" tableBorderDxfId="24" headerRowCellStyle="Bad" dataCellStyle="Normal">
  <autoFilter ref="B5:K22" xr:uid="{D102E08B-F339-41A7-8779-8E498408C686}"/>
  <tableColumns count="10">
    <tableColumn id="1" xr3:uid="{56245CEC-5B93-4E37-91BA-76998A3A6878}" name="STT" dataDxfId="23" dataCellStyle="Normal"/>
    <tableColumn id="2" xr3:uid="{5D410F34-6C22-4005-98BA-66EEF8E95AE6}" name="HỌ TÊN" dataDxfId="22" dataCellStyle="Normal"/>
    <tableColumn id="3" xr3:uid="{3A7C7AD2-8083-445E-BD99-F734D0E7A479}" name="ĐIỆN THOẠI" dataDxfId="21" dataCellStyle="Normal"/>
    <tableColumn id="4" xr3:uid="{0AF50696-4CF7-41B9-97A6-B34BD28D7210}" name="CCCD" dataDxfId="20" dataCellStyle="Normal"/>
    <tableColumn id="5" xr3:uid="{8D5FCBA2-136B-4061-BADF-D92FBC3936F0}" name="ĐỊA CHỈ" dataDxfId="19" dataCellStyle="Normal"/>
    <tableColumn id="6" xr3:uid="{E1DD68A3-2EC3-4559-B7EC-1D9901BC9246}" name="BIỂN SỐ XE" dataDxfId="18" dataCellStyle="Normal"/>
    <tableColumn id="7" xr3:uid="{83ED5A08-2EF5-41D5-A1DA-1AC37DF1AE2D}" name="DOANH THU" dataDxfId="17" dataCellStyle="Normal"/>
    <tableColumn id="8" xr3:uid="{6DE6ACCF-221A-4ADD-82C5-46161F42CC3B}" name="THỰC LÃNH" dataDxfId="16" dataCellStyle="Normal">
      <calculatedColumnFormula>IF(ISNUMBER(H6),H6/2,"")</calculatedColumnFormula>
    </tableColumn>
    <tableColumn id="9" xr3:uid="{051C24EE-47BB-4F55-A227-A306E90C4290}" name="HÌNH THỨC" dataDxfId="15" dataCellStyle="Normal"/>
    <tableColumn id="10" xr3:uid="{4B6DE2B9-350D-4115-9F51-EA7BEE111CDB}" name="BILL" dataDxfId="14" dataCellStyle="Normal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B90D4-454D-4880-B31D-A91C2CDC83A9}" name="Table145" displayName="Table145" ref="B6:L23" totalsRowShown="0" headerRowDxfId="13" dataDxfId="12" tableBorderDxfId="11" headerRowCellStyle="Bad" dataCellStyle="Normal">
  <autoFilter ref="B6:L23" xr:uid="{D102E08B-F339-41A7-8779-8E498408C686}"/>
  <tableColumns count="11">
    <tableColumn id="1" xr3:uid="{414C8D44-6DC4-4B86-8E3A-5339812C50FB}" name="STT" dataDxfId="10" dataCellStyle="Normal"/>
    <tableColumn id="2" xr3:uid="{6FAD5AB5-298C-4A36-ABDC-A5D9637FDD1B}" name="HỌ TÊN" dataDxfId="9" dataCellStyle="Normal"/>
    <tableColumn id="3" xr3:uid="{B8AA6E27-3B1B-40DE-899F-FFE99DDB57E5}" name="ĐIỆN THOẠI" dataDxfId="8" dataCellStyle="Normal"/>
    <tableColumn id="4" xr3:uid="{4A9ADB20-D7DF-41CA-A8B0-984E178EC636}" name="CCCD" dataDxfId="7" dataCellStyle="Normal"/>
    <tableColumn id="5" xr3:uid="{9B2F3F47-F0A9-472C-BEF4-AE2187C4E05F}" name="ĐỊA CHỈ" dataDxfId="6" dataCellStyle="Normal"/>
    <tableColumn id="6" xr3:uid="{A93CFF17-7D8F-4ADE-9556-9E23EA0BDBC5}" name="BIỂN SỐ XE" dataDxfId="5" dataCellStyle="Normal"/>
    <tableColumn id="7" xr3:uid="{D22577A6-97FC-4DD1-91D6-50E6CF26FEF7}" name="DOANH THU" dataDxfId="4" dataCellStyle="Normal"/>
    <tableColumn id="8" xr3:uid="{B0C89032-0AB4-4BCC-90ED-56250C2EDD5D}" name="THỰC LÃNH" dataDxfId="3" dataCellStyle="Normal"/>
    <tableColumn id="9" xr3:uid="{216960B2-93E0-43AB-B56B-23F8BB3330DB}" name="HÌNH THỨC" dataDxfId="2" dataCellStyle="Normal"/>
    <tableColumn id="10" xr3:uid="{7060E0DD-09FF-405F-A9FC-E7C96FDB4D0F}" name="BILL" dataDxfId="1" dataCellStyle="Normal"/>
    <tableColumn id="11" xr3:uid="{A433299F-94CA-47C8-AE3A-BF29422D90EA}" name="NOTE" dataDxfId="0" dataCellStyle="Norm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26"/>
  <sheetViews>
    <sheetView zoomScaleNormal="100" workbookViewId="0">
      <selection activeCell="J25" sqref="J25:J26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6384" width="9.140625" style="1"/>
  </cols>
  <sheetData>
    <row r="2" spans="2:11" ht="60.75" customHeight="1" x14ac:dyDescent="0.25">
      <c r="B2" s="15" t="s">
        <v>35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ht="30.75" x14ac:dyDescent="0.25">
      <c r="B3" s="16" t="s">
        <v>36</v>
      </c>
      <c r="C3" s="17"/>
      <c r="D3" s="17"/>
      <c r="E3" s="17"/>
      <c r="F3" s="17"/>
      <c r="G3" s="17"/>
      <c r="H3" s="17"/>
      <c r="I3" s="17"/>
      <c r="J3" s="17"/>
      <c r="K3" s="17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3" t="s">
        <v>8</v>
      </c>
      <c r="D6" s="3" t="s">
        <v>23</v>
      </c>
      <c r="E6" s="4">
        <v>38096003688</v>
      </c>
      <c r="F6" s="3" t="s">
        <v>28</v>
      </c>
      <c r="G6" s="3" t="s">
        <v>29</v>
      </c>
      <c r="H6" s="6">
        <v>1300000</v>
      </c>
      <c r="I6" s="6">
        <f t="shared" ref="I6:I22" si="0"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3" t="s">
        <v>46</v>
      </c>
      <c r="D7" s="3" t="s">
        <v>24</v>
      </c>
      <c r="E7" s="4">
        <v>91203011680</v>
      </c>
      <c r="F7" s="3" t="s">
        <v>30</v>
      </c>
      <c r="G7" s="3" t="s">
        <v>31</v>
      </c>
      <c r="H7" s="9">
        <v>1640000</v>
      </c>
      <c r="I7" s="9">
        <v>820000</v>
      </c>
      <c r="J7" s="3" t="s">
        <v>47</v>
      </c>
      <c r="K7" s="2"/>
    </row>
    <row r="8" spans="2:11" ht="16.5" x14ac:dyDescent="0.25">
      <c r="B8" s="3">
        <f t="shared" ref="B8:B22" si="1">B7+1</f>
        <v>3</v>
      </c>
      <c r="C8" s="3" t="s">
        <v>9</v>
      </c>
      <c r="D8" s="3" t="s">
        <v>25</v>
      </c>
      <c r="E8" s="4">
        <v>89078016404</v>
      </c>
      <c r="F8" s="3" t="s">
        <v>33</v>
      </c>
      <c r="G8" s="3" t="s">
        <v>32</v>
      </c>
      <c r="H8" s="6">
        <v>1440000</v>
      </c>
      <c r="I8" s="6">
        <f t="shared" si="0"/>
        <v>720000</v>
      </c>
      <c r="J8" s="3" t="s">
        <v>45</v>
      </c>
      <c r="K8" s="2"/>
    </row>
    <row r="9" spans="2:11" ht="16.5" x14ac:dyDescent="0.25">
      <c r="B9" s="3">
        <f t="shared" si="1"/>
        <v>4</v>
      </c>
      <c r="C9" s="3" t="s">
        <v>10</v>
      </c>
      <c r="D9" s="3" t="s">
        <v>26</v>
      </c>
      <c r="E9" s="4">
        <v>89099008054</v>
      </c>
      <c r="F9" s="3" t="s">
        <v>33</v>
      </c>
      <c r="G9" s="3" t="s">
        <v>34</v>
      </c>
      <c r="H9" s="6">
        <v>1920000</v>
      </c>
      <c r="I9" s="6">
        <f t="shared" si="0"/>
        <v>960000</v>
      </c>
      <c r="J9" s="3" t="s">
        <v>45</v>
      </c>
      <c r="K9" s="2"/>
    </row>
    <row r="10" spans="2:11" ht="16.5" x14ac:dyDescent="0.25">
      <c r="B10" s="3">
        <f t="shared" si="1"/>
        <v>5</v>
      </c>
      <c r="C10" s="3" t="s">
        <v>11</v>
      </c>
      <c r="D10" s="4" t="s">
        <v>27</v>
      </c>
      <c r="E10" s="4">
        <v>91088020664</v>
      </c>
      <c r="F10" s="3" t="s">
        <v>30</v>
      </c>
      <c r="G10" s="3" t="s">
        <v>37</v>
      </c>
      <c r="H10" s="6">
        <v>1480000</v>
      </c>
      <c r="I10" s="6">
        <f t="shared" si="0"/>
        <v>740000</v>
      </c>
      <c r="J10" s="3" t="s">
        <v>47</v>
      </c>
      <c r="K10" s="2"/>
    </row>
    <row r="11" spans="2:11" ht="16.5" x14ac:dyDescent="0.25">
      <c r="B11" s="3">
        <f t="shared" si="1"/>
        <v>6</v>
      </c>
      <c r="C11" s="3" t="s">
        <v>12</v>
      </c>
      <c r="D11" s="7" t="s">
        <v>38</v>
      </c>
      <c r="E11" s="7" t="s">
        <v>38</v>
      </c>
      <c r="F11" s="7" t="s">
        <v>38</v>
      </c>
      <c r="G11" s="7" t="s">
        <v>38</v>
      </c>
      <c r="H11" s="6">
        <v>1430000</v>
      </c>
      <c r="I11" s="6">
        <f t="shared" si="0"/>
        <v>715000</v>
      </c>
      <c r="J11" s="3" t="s">
        <v>45</v>
      </c>
      <c r="K11" s="2"/>
    </row>
    <row r="12" spans="2:11" ht="16.5" x14ac:dyDescent="0.25">
      <c r="B12" s="3">
        <f t="shared" si="1"/>
        <v>7</v>
      </c>
      <c r="C12" s="3" t="s">
        <v>13</v>
      </c>
      <c r="D12" s="7" t="s">
        <v>38</v>
      </c>
      <c r="E12" s="7" t="s">
        <v>38</v>
      </c>
      <c r="F12" s="7" t="s">
        <v>38</v>
      </c>
      <c r="G12" s="7" t="s">
        <v>38</v>
      </c>
      <c r="H12" s="6">
        <v>1315000</v>
      </c>
      <c r="I12" s="6">
        <v>660000</v>
      </c>
      <c r="J12" s="3" t="s">
        <v>45</v>
      </c>
      <c r="K12" s="2"/>
    </row>
    <row r="13" spans="2:11" ht="16.5" x14ac:dyDescent="0.25">
      <c r="B13" s="3">
        <f t="shared" si="1"/>
        <v>8</v>
      </c>
      <c r="C13" s="3" t="s">
        <v>14</v>
      </c>
      <c r="D13" s="7" t="s">
        <v>38</v>
      </c>
      <c r="E13" s="7" t="s">
        <v>38</v>
      </c>
      <c r="F13" s="7" t="s">
        <v>38</v>
      </c>
      <c r="G13" s="7" t="s">
        <v>38</v>
      </c>
      <c r="H13" s="6">
        <v>1745000</v>
      </c>
      <c r="I13" s="6">
        <v>872000</v>
      </c>
      <c r="J13" s="3" t="s">
        <v>45</v>
      </c>
      <c r="K13" s="2"/>
    </row>
    <row r="14" spans="2:11" ht="16.5" x14ac:dyDescent="0.25">
      <c r="B14" s="3">
        <f t="shared" si="1"/>
        <v>9</v>
      </c>
      <c r="C14" s="3" t="s">
        <v>15</v>
      </c>
      <c r="D14" s="3" t="s">
        <v>42</v>
      </c>
      <c r="E14" s="7" t="s">
        <v>38</v>
      </c>
      <c r="F14" s="8" t="s">
        <v>40</v>
      </c>
      <c r="G14" s="8" t="s">
        <v>41</v>
      </c>
      <c r="H14" s="6">
        <v>1600000</v>
      </c>
      <c r="I14" s="6">
        <f t="shared" si="0"/>
        <v>800000</v>
      </c>
      <c r="J14" s="3" t="s">
        <v>45</v>
      </c>
      <c r="K14" s="2"/>
    </row>
    <row r="15" spans="2:11" ht="16.5" x14ac:dyDescent="0.25">
      <c r="B15" s="3">
        <f t="shared" si="1"/>
        <v>10</v>
      </c>
      <c r="C15" s="3" t="s">
        <v>16</v>
      </c>
      <c r="D15" s="7" t="s">
        <v>38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3"/>
      <c r="K15" s="2"/>
    </row>
    <row r="16" spans="2:11" ht="16.5" x14ac:dyDescent="0.25">
      <c r="B16" s="3">
        <f t="shared" si="1"/>
        <v>11</v>
      </c>
      <c r="C16" s="3" t="s">
        <v>17</v>
      </c>
      <c r="D16" s="8" t="s">
        <v>43</v>
      </c>
      <c r="E16" s="7" t="s">
        <v>38</v>
      </c>
      <c r="F16" s="7" t="s">
        <v>38</v>
      </c>
      <c r="G16" s="8" t="s">
        <v>44</v>
      </c>
      <c r="H16" s="6">
        <v>1500000</v>
      </c>
      <c r="I16" s="6">
        <f t="shared" si="0"/>
        <v>750000</v>
      </c>
      <c r="J16" s="3" t="s">
        <v>45</v>
      </c>
      <c r="K16" s="2"/>
    </row>
    <row r="17" spans="2:11" ht="16.5" x14ac:dyDescent="0.25">
      <c r="B17" s="3">
        <f t="shared" si="1"/>
        <v>12</v>
      </c>
      <c r="C17" s="3" t="s">
        <v>18</v>
      </c>
      <c r="D17" s="7" t="s">
        <v>38</v>
      </c>
      <c r="E17" s="7" t="s">
        <v>38</v>
      </c>
      <c r="F17" s="7" t="s">
        <v>38</v>
      </c>
      <c r="G17" s="8" t="s">
        <v>48</v>
      </c>
      <c r="H17" s="6">
        <v>1910000</v>
      </c>
      <c r="I17" s="6">
        <f t="shared" si="0"/>
        <v>955000</v>
      </c>
      <c r="J17" s="3" t="s">
        <v>45</v>
      </c>
      <c r="K17" s="2"/>
    </row>
    <row r="18" spans="2:11" ht="16.5" x14ac:dyDescent="0.25">
      <c r="B18" s="3">
        <f t="shared" si="1"/>
        <v>13</v>
      </c>
      <c r="C18" s="3" t="s">
        <v>19</v>
      </c>
      <c r="D18" s="7" t="s">
        <v>38</v>
      </c>
      <c r="E18" s="7" t="s">
        <v>38</v>
      </c>
      <c r="F18" s="7" t="s">
        <v>38</v>
      </c>
      <c r="G18" s="7" t="s">
        <v>38</v>
      </c>
      <c r="H18" s="7" t="s">
        <v>38</v>
      </c>
      <c r="I18" s="7" t="s">
        <v>38</v>
      </c>
      <c r="J18" s="3"/>
      <c r="K18" s="2"/>
    </row>
    <row r="19" spans="2:11" ht="16.5" x14ac:dyDescent="0.25">
      <c r="B19" s="3">
        <f t="shared" si="1"/>
        <v>14</v>
      </c>
      <c r="C19" s="3" t="s">
        <v>20</v>
      </c>
      <c r="D19" s="8" t="s">
        <v>49</v>
      </c>
      <c r="E19" s="8">
        <v>42094001136</v>
      </c>
      <c r="F19" s="8" t="s">
        <v>30</v>
      </c>
      <c r="G19" s="8" t="s">
        <v>38</v>
      </c>
      <c r="H19" s="6">
        <v>1950000</v>
      </c>
      <c r="I19" s="6">
        <f t="shared" si="0"/>
        <v>975000</v>
      </c>
      <c r="J19" s="3" t="s">
        <v>47</v>
      </c>
      <c r="K19" s="2"/>
    </row>
    <row r="20" spans="2:11" ht="16.5" x14ac:dyDescent="0.25">
      <c r="B20" s="3">
        <f t="shared" si="1"/>
        <v>15</v>
      </c>
      <c r="C20" s="3" t="s">
        <v>21</v>
      </c>
      <c r="D20" s="3"/>
      <c r="E20" s="3"/>
      <c r="F20" s="3"/>
      <c r="G20" s="3"/>
      <c r="H20" s="3"/>
      <c r="I20" s="6" t="str">
        <f t="shared" si="0"/>
        <v/>
      </c>
      <c r="J20" s="3"/>
      <c r="K20" s="2"/>
    </row>
    <row r="21" spans="2:11" ht="16.5" x14ac:dyDescent="0.25">
      <c r="B21" s="3">
        <f t="shared" si="1"/>
        <v>16</v>
      </c>
      <c r="C21" s="3" t="s">
        <v>21</v>
      </c>
      <c r="D21" s="3"/>
      <c r="E21" s="3"/>
      <c r="F21" s="3"/>
      <c r="G21" s="3"/>
      <c r="H21" s="3"/>
      <c r="I21" s="6" t="str">
        <f t="shared" si="0"/>
        <v/>
      </c>
      <c r="J21" s="3"/>
      <c r="K21" s="2"/>
    </row>
    <row r="22" spans="2:11" ht="16.5" x14ac:dyDescent="0.25">
      <c r="B22" s="3">
        <f t="shared" si="1"/>
        <v>17</v>
      </c>
      <c r="C22" s="3" t="s">
        <v>21</v>
      </c>
      <c r="D22" s="3"/>
      <c r="E22" s="3"/>
      <c r="F22" s="3"/>
      <c r="G22" s="3"/>
      <c r="H22" s="3"/>
      <c r="I22" s="6" t="str">
        <f t="shared" si="0"/>
        <v/>
      </c>
      <c r="J22" s="3"/>
      <c r="K22" s="2"/>
    </row>
    <row r="25" spans="2:11" ht="22.5" x14ac:dyDescent="0.3">
      <c r="H25" s="18" t="s">
        <v>50</v>
      </c>
      <c r="I25" s="18"/>
      <c r="J25" s="10">
        <f>SUM(H6:H1000)</f>
        <v>19230000</v>
      </c>
    </row>
    <row r="26" spans="2:11" ht="22.5" x14ac:dyDescent="0.3">
      <c r="H26" s="18" t="s">
        <v>51</v>
      </c>
      <c r="I26" s="18"/>
      <c r="J26" s="10">
        <f>SUM(I6:I1000)</f>
        <v>9617000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ignoredErrors>
    <ignoredError sqref="I12:I13 I15 I18 I7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16B9-FC3D-4F14-8966-E04CF2CDA6E6}">
  <sheetPr codeName="Sheet2"/>
  <dimension ref="B2:K26"/>
  <sheetViews>
    <sheetView zoomScaleNormal="100" workbookViewId="0">
      <selection activeCell="C7" sqref="C7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6384" width="9.140625" style="1"/>
  </cols>
  <sheetData>
    <row r="2" spans="2:11" ht="60.75" customHeight="1" x14ac:dyDescent="0.25"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ht="30.75" x14ac:dyDescent="0.25">
      <c r="B3" s="16" t="s">
        <v>36</v>
      </c>
      <c r="C3" s="17"/>
      <c r="D3" s="17"/>
      <c r="E3" s="17"/>
      <c r="F3" s="17"/>
      <c r="G3" s="17"/>
      <c r="H3" s="17"/>
      <c r="I3" s="17"/>
      <c r="J3" s="17"/>
      <c r="K3" s="17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14" t="s">
        <v>8</v>
      </c>
      <c r="D6" s="3" t="s">
        <v>23</v>
      </c>
      <c r="E6" s="4">
        <v>38096003688</v>
      </c>
      <c r="F6" s="3" t="s">
        <v>28</v>
      </c>
      <c r="G6" s="3" t="s">
        <v>29</v>
      </c>
      <c r="H6" s="11">
        <v>1300000</v>
      </c>
      <c r="I6" s="11">
        <f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14" t="s">
        <v>46</v>
      </c>
      <c r="D7" s="3" t="s">
        <v>24</v>
      </c>
      <c r="E7" s="4">
        <v>91203011680</v>
      </c>
      <c r="F7" s="3" t="s">
        <v>30</v>
      </c>
      <c r="G7" s="3" t="s">
        <v>31</v>
      </c>
      <c r="H7" s="7" t="s">
        <v>38</v>
      </c>
      <c r="I7" s="7" t="s">
        <v>38</v>
      </c>
      <c r="J7" s="3"/>
      <c r="K7" s="2"/>
    </row>
    <row r="8" spans="2:11" ht="16.5" x14ac:dyDescent="0.25">
      <c r="B8" s="3">
        <f t="shared" ref="B8:B22" si="0">B7+1</f>
        <v>3</v>
      </c>
      <c r="C8" s="14" t="s">
        <v>9</v>
      </c>
      <c r="D8" s="3" t="s">
        <v>25</v>
      </c>
      <c r="E8" s="4">
        <v>89078016404</v>
      </c>
      <c r="F8" s="3" t="s">
        <v>33</v>
      </c>
      <c r="G8" s="3" t="s">
        <v>32</v>
      </c>
      <c r="H8" s="11">
        <v>1440000</v>
      </c>
      <c r="I8" s="11">
        <f t="shared" ref="I8:I22" si="1">IF(ISNUMBER(H8),H8/2,"")</f>
        <v>720000</v>
      </c>
      <c r="J8" s="3" t="s">
        <v>45</v>
      </c>
      <c r="K8" s="2"/>
    </row>
    <row r="9" spans="2:11" ht="16.5" x14ac:dyDescent="0.25">
      <c r="B9" s="3">
        <f t="shared" si="0"/>
        <v>4</v>
      </c>
      <c r="C9" s="14" t="s">
        <v>10</v>
      </c>
      <c r="D9" s="3" t="s">
        <v>26</v>
      </c>
      <c r="E9" s="4">
        <v>89099008054</v>
      </c>
      <c r="F9" s="3" t="s">
        <v>33</v>
      </c>
      <c r="G9" s="3" t="s">
        <v>34</v>
      </c>
      <c r="H9" s="11">
        <v>1920000</v>
      </c>
      <c r="I9" s="11">
        <f t="shared" si="1"/>
        <v>960000</v>
      </c>
      <c r="J9" s="3" t="s">
        <v>45</v>
      </c>
      <c r="K9" s="2"/>
    </row>
    <row r="10" spans="2:11" ht="16.5" x14ac:dyDescent="0.25">
      <c r="B10" s="3">
        <f t="shared" si="0"/>
        <v>5</v>
      </c>
      <c r="C10" s="14" t="s">
        <v>11</v>
      </c>
      <c r="D10" s="4" t="s">
        <v>27</v>
      </c>
      <c r="E10" s="4">
        <v>91088020664</v>
      </c>
      <c r="F10" s="3" t="s">
        <v>30</v>
      </c>
      <c r="G10" s="3" t="s">
        <v>37</v>
      </c>
      <c r="H10" s="11">
        <v>1480000</v>
      </c>
      <c r="I10" s="11">
        <f t="shared" si="1"/>
        <v>740000</v>
      </c>
      <c r="J10" s="3" t="s">
        <v>47</v>
      </c>
      <c r="K10" s="2"/>
    </row>
    <row r="11" spans="2:11" ht="16.5" x14ac:dyDescent="0.25">
      <c r="B11" s="3">
        <f t="shared" si="0"/>
        <v>6</v>
      </c>
      <c r="C11" s="14" t="s">
        <v>12</v>
      </c>
      <c r="D11" s="7" t="s">
        <v>38</v>
      </c>
      <c r="E11" s="7" t="s">
        <v>38</v>
      </c>
      <c r="F11" s="7" t="s">
        <v>38</v>
      </c>
      <c r="G11" s="7" t="s">
        <v>38</v>
      </c>
      <c r="H11" s="11">
        <v>1430000</v>
      </c>
      <c r="I11" s="11">
        <f t="shared" si="1"/>
        <v>715000</v>
      </c>
      <c r="J11" s="3" t="s">
        <v>45</v>
      </c>
      <c r="K11" s="2"/>
    </row>
    <row r="12" spans="2:11" ht="16.5" x14ac:dyDescent="0.25">
      <c r="B12" s="3">
        <f t="shared" si="0"/>
        <v>7</v>
      </c>
      <c r="C12" s="14" t="s">
        <v>13</v>
      </c>
      <c r="D12" s="7" t="s">
        <v>38</v>
      </c>
      <c r="E12" s="7" t="s">
        <v>38</v>
      </c>
      <c r="F12" s="7" t="s">
        <v>38</v>
      </c>
      <c r="G12" s="7" t="s">
        <v>38</v>
      </c>
      <c r="H12" s="11">
        <v>1315000</v>
      </c>
      <c r="I12" s="11">
        <v>660000</v>
      </c>
      <c r="J12" s="3" t="s">
        <v>45</v>
      </c>
      <c r="K12" s="2"/>
    </row>
    <row r="13" spans="2:11" ht="16.5" x14ac:dyDescent="0.25">
      <c r="B13" s="3">
        <f t="shared" si="0"/>
        <v>8</v>
      </c>
      <c r="C13" s="14" t="s">
        <v>14</v>
      </c>
      <c r="D13" s="7" t="s">
        <v>38</v>
      </c>
      <c r="E13" s="7" t="s">
        <v>38</v>
      </c>
      <c r="F13" s="7" t="s">
        <v>38</v>
      </c>
      <c r="G13" s="7" t="s">
        <v>38</v>
      </c>
      <c r="H13" s="11">
        <v>1745000</v>
      </c>
      <c r="I13" s="11">
        <v>872000</v>
      </c>
      <c r="J13" s="3" t="s">
        <v>45</v>
      </c>
      <c r="K13" s="2"/>
    </row>
    <row r="14" spans="2:11" ht="16.5" x14ac:dyDescent="0.25">
      <c r="B14" s="3">
        <f t="shared" si="0"/>
        <v>9</v>
      </c>
      <c r="C14" s="14" t="s">
        <v>15</v>
      </c>
      <c r="D14" s="3" t="s">
        <v>42</v>
      </c>
      <c r="E14" s="7" t="s">
        <v>38</v>
      </c>
      <c r="F14" s="8" t="s">
        <v>40</v>
      </c>
      <c r="G14" s="8" t="s">
        <v>41</v>
      </c>
      <c r="H14" s="11">
        <v>1600000</v>
      </c>
      <c r="I14" s="11">
        <f t="shared" si="1"/>
        <v>800000</v>
      </c>
      <c r="J14" s="3" t="s">
        <v>45</v>
      </c>
      <c r="K14" s="2"/>
    </row>
    <row r="15" spans="2:11" ht="16.5" x14ac:dyDescent="0.25">
      <c r="B15" s="3">
        <f t="shared" si="0"/>
        <v>10</v>
      </c>
      <c r="C15" s="14" t="s">
        <v>16</v>
      </c>
      <c r="D15" s="7" t="s">
        <v>38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3"/>
      <c r="K15" s="2"/>
    </row>
    <row r="16" spans="2:11" ht="16.5" x14ac:dyDescent="0.25">
      <c r="B16" s="3">
        <f t="shared" si="0"/>
        <v>11</v>
      </c>
      <c r="C16" s="14" t="s">
        <v>17</v>
      </c>
      <c r="D16" s="8" t="s">
        <v>43</v>
      </c>
      <c r="E16" s="7" t="s">
        <v>38</v>
      </c>
      <c r="F16" s="7" t="s">
        <v>38</v>
      </c>
      <c r="G16" s="8" t="s">
        <v>44</v>
      </c>
      <c r="H16" s="11">
        <v>1500000</v>
      </c>
      <c r="I16" s="11">
        <f t="shared" si="1"/>
        <v>750000</v>
      </c>
      <c r="J16" s="3" t="s">
        <v>45</v>
      </c>
      <c r="K16" s="2"/>
    </row>
    <row r="17" spans="2:11" ht="16.5" x14ac:dyDescent="0.25">
      <c r="B17" s="3">
        <f t="shared" si="0"/>
        <v>12</v>
      </c>
      <c r="C17" s="14" t="s">
        <v>18</v>
      </c>
      <c r="D17" s="7" t="s">
        <v>38</v>
      </c>
      <c r="E17" s="7" t="s">
        <v>38</v>
      </c>
      <c r="F17" s="7" t="s">
        <v>38</v>
      </c>
      <c r="G17" s="8" t="s">
        <v>48</v>
      </c>
      <c r="H17" s="11">
        <v>1910000</v>
      </c>
      <c r="I17" s="11">
        <f t="shared" si="1"/>
        <v>955000</v>
      </c>
      <c r="J17" s="3" t="s">
        <v>45</v>
      </c>
      <c r="K17" s="2"/>
    </row>
    <row r="18" spans="2:11" ht="16.5" x14ac:dyDescent="0.25">
      <c r="B18" s="3">
        <f t="shared" si="0"/>
        <v>13</v>
      </c>
      <c r="C18" s="14" t="s">
        <v>19</v>
      </c>
      <c r="D18" s="7" t="s">
        <v>38</v>
      </c>
      <c r="E18" s="7" t="s">
        <v>38</v>
      </c>
      <c r="F18" s="7" t="s">
        <v>38</v>
      </c>
      <c r="G18" s="7" t="s">
        <v>38</v>
      </c>
      <c r="H18" s="7" t="s">
        <v>38</v>
      </c>
      <c r="I18" s="7" t="s">
        <v>38</v>
      </c>
      <c r="J18" s="3"/>
      <c r="K18" s="2"/>
    </row>
    <row r="19" spans="2:11" ht="16.5" x14ac:dyDescent="0.25">
      <c r="B19" s="3">
        <f t="shared" si="0"/>
        <v>14</v>
      </c>
      <c r="C19" s="14" t="s">
        <v>53</v>
      </c>
      <c r="D19" s="8" t="s">
        <v>49</v>
      </c>
      <c r="E19" s="8">
        <v>42094001136</v>
      </c>
      <c r="F19" s="8" t="s">
        <v>30</v>
      </c>
      <c r="G19" s="8" t="s">
        <v>38</v>
      </c>
      <c r="H19" s="11">
        <v>1810000</v>
      </c>
      <c r="I19" s="11">
        <f t="shared" si="1"/>
        <v>905000</v>
      </c>
      <c r="J19" s="3" t="s">
        <v>47</v>
      </c>
      <c r="K19" s="2"/>
    </row>
    <row r="20" spans="2:11" ht="16.5" x14ac:dyDescent="0.25">
      <c r="B20" s="3">
        <f t="shared" si="0"/>
        <v>15</v>
      </c>
      <c r="C20" s="3" t="s">
        <v>21</v>
      </c>
      <c r="D20" s="3"/>
      <c r="E20" s="3"/>
      <c r="F20" s="3"/>
      <c r="G20" s="3"/>
      <c r="H20" s="3"/>
      <c r="I20" s="6" t="str">
        <f t="shared" si="1"/>
        <v/>
      </c>
      <c r="J20" s="3"/>
      <c r="K20" s="2"/>
    </row>
    <row r="21" spans="2:11" ht="16.5" x14ac:dyDescent="0.25">
      <c r="B21" s="3">
        <f t="shared" si="0"/>
        <v>16</v>
      </c>
      <c r="C21" s="3" t="s">
        <v>21</v>
      </c>
      <c r="D21" s="3"/>
      <c r="E21" s="3"/>
      <c r="F21" s="3"/>
      <c r="G21" s="3"/>
      <c r="H21" s="3"/>
      <c r="I21" s="6" t="str">
        <f t="shared" si="1"/>
        <v/>
      </c>
      <c r="J21" s="3"/>
      <c r="K21" s="2"/>
    </row>
    <row r="22" spans="2:11" ht="16.5" x14ac:dyDescent="0.25">
      <c r="B22" s="3">
        <f t="shared" si="0"/>
        <v>17</v>
      </c>
      <c r="C22" s="3" t="s">
        <v>21</v>
      </c>
      <c r="D22" s="3"/>
      <c r="E22" s="3"/>
      <c r="F22" s="3"/>
      <c r="G22" s="3"/>
      <c r="H22" s="3"/>
      <c r="I22" s="6" t="str">
        <f t="shared" si="1"/>
        <v/>
      </c>
      <c r="J22" s="3"/>
      <c r="K22" s="2"/>
    </row>
    <row r="25" spans="2:11" ht="22.5" x14ac:dyDescent="0.3">
      <c r="H25" s="18" t="s">
        <v>50</v>
      </c>
      <c r="I25" s="18"/>
      <c r="J25" s="10">
        <f>SUM(H6:H1000)</f>
        <v>17450000</v>
      </c>
    </row>
    <row r="26" spans="2:11" ht="22.5" x14ac:dyDescent="0.3">
      <c r="H26" s="18" t="s">
        <v>51</v>
      </c>
      <c r="I26" s="18"/>
      <c r="J26" s="10">
        <f>SUM(I6:I1000)</f>
        <v>8727000</v>
      </c>
    </row>
  </sheetData>
  <sheetProtection sheet="1" objects="1" scenarios="1"/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AA58-3F13-4E57-B9C1-4A4017179BC4}">
  <sheetPr codeName="Sheet3"/>
  <dimension ref="B2:K26"/>
  <sheetViews>
    <sheetView zoomScaleNormal="100" workbookViewId="0">
      <selection activeCell="I6" sqref="I6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6384" width="9.140625" style="1"/>
  </cols>
  <sheetData>
    <row r="2" spans="2:11" ht="60.75" customHeight="1" x14ac:dyDescent="0.25"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ht="30.75" x14ac:dyDescent="0.25">
      <c r="B3" s="16" t="s">
        <v>52</v>
      </c>
      <c r="C3" s="17"/>
      <c r="D3" s="17"/>
      <c r="E3" s="17"/>
      <c r="F3" s="17"/>
      <c r="G3" s="17"/>
      <c r="H3" s="17"/>
      <c r="I3" s="17"/>
      <c r="J3" s="17"/>
      <c r="K3" s="17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14" t="s">
        <v>8</v>
      </c>
      <c r="D6" s="3" t="s">
        <v>23</v>
      </c>
      <c r="E6" s="4">
        <v>38096003688</v>
      </c>
      <c r="F6" s="3" t="s">
        <v>28</v>
      </c>
      <c r="G6" s="3" t="s">
        <v>29</v>
      </c>
      <c r="H6" s="11">
        <v>1300000</v>
      </c>
      <c r="I6" s="11">
        <f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14" t="s">
        <v>46</v>
      </c>
      <c r="D7" s="3" t="s">
        <v>24</v>
      </c>
      <c r="E7" s="4">
        <v>91203011680</v>
      </c>
      <c r="F7" s="3" t="s">
        <v>30</v>
      </c>
      <c r="G7" s="3" t="s">
        <v>31</v>
      </c>
      <c r="H7" s="12">
        <v>1640000</v>
      </c>
      <c r="I7" s="11">
        <f t="shared" ref="I7:I19" si="0">IF(ISNUMBER(H7),H7/2,"")</f>
        <v>820000</v>
      </c>
      <c r="J7" s="3" t="s">
        <v>47</v>
      </c>
      <c r="K7" s="2"/>
    </row>
    <row r="8" spans="2:11" ht="16.5" x14ac:dyDescent="0.25">
      <c r="B8" s="3">
        <f t="shared" ref="B8:B22" si="1">B7+1</f>
        <v>3</v>
      </c>
      <c r="C8" s="14" t="s">
        <v>9</v>
      </c>
      <c r="D8" s="3" t="s">
        <v>25</v>
      </c>
      <c r="E8" s="4">
        <v>89078016404</v>
      </c>
      <c r="F8" s="3" t="s">
        <v>33</v>
      </c>
      <c r="G8" s="3" t="s">
        <v>32</v>
      </c>
      <c r="H8" s="11">
        <v>1320000</v>
      </c>
      <c r="I8" s="11">
        <f t="shared" si="0"/>
        <v>660000</v>
      </c>
      <c r="J8" s="3" t="s">
        <v>45</v>
      </c>
      <c r="K8" s="2"/>
    </row>
    <row r="9" spans="2:11" ht="16.5" x14ac:dyDescent="0.25">
      <c r="B9" s="3">
        <f t="shared" si="1"/>
        <v>4</v>
      </c>
      <c r="C9" s="14" t="s">
        <v>10</v>
      </c>
      <c r="D9" s="3" t="s">
        <v>26</v>
      </c>
      <c r="E9" s="4">
        <v>89099008054</v>
      </c>
      <c r="F9" s="3" t="s">
        <v>33</v>
      </c>
      <c r="G9" s="3" t="s">
        <v>34</v>
      </c>
      <c r="H9" s="13" t="s">
        <v>38</v>
      </c>
      <c r="I9" s="13" t="s">
        <v>38</v>
      </c>
      <c r="J9" s="3" t="s">
        <v>45</v>
      </c>
      <c r="K9" s="2"/>
    </row>
    <row r="10" spans="2:11" ht="16.5" x14ac:dyDescent="0.25">
      <c r="B10" s="3">
        <f t="shared" si="1"/>
        <v>5</v>
      </c>
      <c r="C10" s="14" t="s">
        <v>11</v>
      </c>
      <c r="D10" s="4" t="s">
        <v>27</v>
      </c>
      <c r="E10" s="4">
        <v>91088020664</v>
      </c>
      <c r="F10" s="3" t="s">
        <v>30</v>
      </c>
      <c r="G10" s="3" t="s">
        <v>37</v>
      </c>
      <c r="H10" s="11">
        <v>1600000</v>
      </c>
      <c r="I10" s="11">
        <f t="shared" si="0"/>
        <v>800000</v>
      </c>
      <c r="J10" s="3" t="s">
        <v>47</v>
      </c>
      <c r="K10" s="2"/>
    </row>
    <row r="11" spans="2:11" ht="16.5" x14ac:dyDescent="0.25">
      <c r="B11" s="3">
        <f t="shared" si="1"/>
        <v>6</v>
      </c>
      <c r="C11" s="14" t="s">
        <v>12</v>
      </c>
      <c r="D11" s="7" t="s">
        <v>38</v>
      </c>
      <c r="E11" s="7" t="s">
        <v>38</v>
      </c>
      <c r="F11" s="7" t="s">
        <v>38</v>
      </c>
      <c r="G11" s="7" t="s">
        <v>38</v>
      </c>
      <c r="H11" s="11">
        <v>1480000</v>
      </c>
      <c r="I11" s="11">
        <f t="shared" si="0"/>
        <v>740000</v>
      </c>
      <c r="J11" s="3" t="s">
        <v>45</v>
      </c>
      <c r="K11" s="2"/>
    </row>
    <row r="12" spans="2:11" ht="16.5" x14ac:dyDescent="0.25">
      <c r="B12" s="3">
        <f t="shared" si="1"/>
        <v>7</v>
      </c>
      <c r="C12" s="14" t="s">
        <v>13</v>
      </c>
      <c r="D12" s="7" t="s">
        <v>38</v>
      </c>
      <c r="E12" s="7" t="s">
        <v>38</v>
      </c>
      <c r="F12" s="7" t="s">
        <v>38</v>
      </c>
      <c r="G12" s="7" t="s">
        <v>38</v>
      </c>
      <c r="H12" s="11">
        <v>1440000</v>
      </c>
      <c r="I12" s="11">
        <f t="shared" si="0"/>
        <v>720000</v>
      </c>
      <c r="J12" s="3" t="s">
        <v>45</v>
      </c>
      <c r="K12" s="2"/>
    </row>
    <row r="13" spans="2:11" ht="16.5" x14ac:dyDescent="0.25">
      <c r="B13" s="3">
        <f t="shared" si="1"/>
        <v>8</v>
      </c>
      <c r="C13" s="14" t="s">
        <v>14</v>
      </c>
      <c r="D13" s="7" t="s">
        <v>38</v>
      </c>
      <c r="E13" s="7" t="s">
        <v>38</v>
      </c>
      <c r="F13" s="7" t="s">
        <v>38</v>
      </c>
      <c r="G13" s="7" t="s">
        <v>38</v>
      </c>
      <c r="H13" s="11">
        <v>1505000</v>
      </c>
      <c r="I13" s="11">
        <v>752000</v>
      </c>
      <c r="J13" s="3" t="s">
        <v>45</v>
      </c>
      <c r="K13" s="2"/>
    </row>
    <row r="14" spans="2:11" ht="16.5" x14ac:dyDescent="0.25">
      <c r="B14" s="3">
        <f t="shared" si="1"/>
        <v>9</v>
      </c>
      <c r="C14" s="14" t="s">
        <v>15</v>
      </c>
      <c r="D14" s="3" t="s">
        <v>42</v>
      </c>
      <c r="E14" s="7" t="s">
        <v>38</v>
      </c>
      <c r="F14" s="8" t="s">
        <v>40</v>
      </c>
      <c r="G14" s="8" t="s">
        <v>41</v>
      </c>
      <c r="H14" s="11">
        <v>1500000</v>
      </c>
      <c r="I14" s="11">
        <f t="shared" si="0"/>
        <v>750000</v>
      </c>
      <c r="J14" s="3" t="s">
        <v>45</v>
      </c>
      <c r="K14" s="2"/>
    </row>
    <row r="15" spans="2:11" ht="16.5" x14ac:dyDescent="0.25">
      <c r="B15" s="3">
        <f t="shared" si="1"/>
        <v>10</v>
      </c>
      <c r="C15" s="14" t="s">
        <v>16</v>
      </c>
      <c r="D15" s="7" t="s">
        <v>38</v>
      </c>
      <c r="E15" s="7" t="s">
        <v>38</v>
      </c>
      <c r="F15" s="7" t="s">
        <v>38</v>
      </c>
      <c r="G15" s="7" t="s">
        <v>38</v>
      </c>
      <c r="H15" s="12">
        <v>1860000</v>
      </c>
      <c r="I15" s="11">
        <f t="shared" si="0"/>
        <v>930000</v>
      </c>
      <c r="J15" s="3"/>
      <c r="K15" s="2"/>
    </row>
    <row r="16" spans="2:11" ht="16.5" x14ac:dyDescent="0.25">
      <c r="B16" s="3">
        <f t="shared" si="1"/>
        <v>11</v>
      </c>
      <c r="C16" s="14" t="s">
        <v>17</v>
      </c>
      <c r="D16" s="8" t="s">
        <v>43</v>
      </c>
      <c r="E16" s="7" t="s">
        <v>38</v>
      </c>
      <c r="F16" s="7" t="s">
        <v>38</v>
      </c>
      <c r="G16" s="8" t="s">
        <v>44</v>
      </c>
      <c r="H16" s="11">
        <v>1350000</v>
      </c>
      <c r="I16" s="11">
        <f t="shared" si="0"/>
        <v>675000</v>
      </c>
      <c r="J16" s="3" t="s">
        <v>45</v>
      </c>
      <c r="K16" s="2"/>
    </row>
    <row r="17" spans="2:11" ht="16.5" x14ac:dyDescent="0.25">
      <c r="B17" s="3">
        <f t="shared" si="1"/>
        <v>12</v>
      </c>
      <c r="C17" s="14" t="s">
        <v>18</v>
      </c>
      <c r="D17" s="7" t="s">
        <v>38</v>
      </c>
      <c r="E17" s="7" t="s">
        <v>38</v>
      </c>
      <c r="F17" s="7" t="s">
        <v>38</v>
      </c>
      <c r="G17" s="8" t="s">
        <v>48</v>
      </c>
      <c r="H17" s="11">
        <v>1310000</v>
      </c>
      <c r="I17" s="11">
        <f t="shared" si="0"/>
        <v>655000</v>
      </c>
      <c r="J17" s="3" t="s">
        <v>45</v>
      </c>
      <c r="K17" s="2"/>
    </row>
    <row r="18" spans="2:11" ht="16.5" x14ac:dyDescent="0.25">
      <c r="B18" s="3">
        <f t="shared" si="1"/>
        <v>13</v>
      </c>
      <c r="C18" s="14" t="s">
        <v>19</v>
      </c>
      <c r="D18" s="7" t="s">
        <v>38</v>
      </c>
      <c r="E18" s="7" t="s">
        <v>38</v>
      </c>
      <c r="F18" s="7" t="s">
        <v>38</v>
      </c>
      <c r="G18" s="7" t="s">
        <v>38</v>
      </c>
      <c r="H18" s="13" t="s">
        <v>38</v>
      </c>
      <c r="I18" s="13" t="s">
        <v>38</v>
      </c>
      <c r="J18" s="3"/>
      <c r="K18" s="2"/>
    </row>
    <row r="19" spans="2:11" ht="16.5" x14ac:dyDescent="0.25">
      <c r="B19" s="3">
        <f t="shared" si="1"/>
        <v>14</v>
      </c>
      <c r="C19" s="14" t="s">
        <v>53</v>
      </c>
      <c r="D19" s="8" t="s">
        <v>49</v>
      </c>
      <c r="E19" s="8">
        <v>42094001136</v>
      </c>
      <c r="F19" s="8" t="s">
        <v>30</v>
      </c>
      <c r="G19" s="8" t="s">
        <v>38</v>
      </c>
      <c r="H19" s="11">
        <v>1930000</v>
      </c>
      <c r="I19" s="11">
        <f t="shared" si="0"/>
        <v>965000</v>
      </c>
      <c r="J19" s="3" t="s">
        <v>47</v>
      </c>
      <c r="K19" s="2"/>
    </row>
    <row r="20" spans="2:11" ht="16.5" x14ac:dyDescent="0.25">
      <c r="B20" s="3">
        <f t="shared" si="1"/>
        <v>15</v>
      </c>
      <c r="C20" s="3" t="s">
        <v>21</v>
      </c>
      <c r="D20" s="3"/>
      <c r="E20" s="3"/>
      <c r="F20" s="3"/>
      <c r="G20" s="3"/>
      <c r="H20" s="3"/>
      <c r="I20" s="6" t="str">
        <f t="shared" ref="I20:I22" si="2">IF(ISNUMBER(H20),H20/2,"")</f>
        <v/>
      </c>
      <c r="J20" s="3"/>
      <c r="K20" s="2"/>
    </row>
    <row r="21" spans="2:11" ht="16.5" x14ac:dyDescent="0.25">
      <c r="B21" s="3">
        <f t="shared" si="1"/>
        <v>16</v>
      </c>
      <c r="C21" s="3" t="s">
        <v>21</v>
      </c>
      <c r="D21" s="3"/>
      <c r="E21" s="3"/>
      <c r="F21" s="3"/>
      <c r="G21" s="3"/>
      <c r="H21" s="3"/>
      <c r="I21" s="6" t="str">
        <f t="shared" si="2"/>
        <v/>
      </c>
      <c r="J21" s="3"/>
      <c r="K21" s="2"/>
    </row>
    <row r="22" spans="2:11" ht="16.5" x14ac:dyDescent="0.25">
      <c r="B22" s="3">
        <f t="shared" si="1"/>
        <v>17</v>
      </c>
      <c r="C22" s="3" t="s">
        <v>21</v>
      </c>
      <c r="D22" s="3"/>
      <c r="E22" s="3"/>
      <c r="F22" s="3"/>
      <c r="G22" s="3"/>
      <c r="H22" s="3"/>
      <c r="I22" s="6" t="str">
        <f t="shared" si="2"/>
        <v/>
      </c>
      <c r="J22" s="3"/>
      <c r="K22" s="2"/>
    </row>
    <row r="25" spans="2:11" ht="22.5" x14ac:dyDescent="0.3">
      <c r="H25" s="18" t="s">
        <v>50</v>
      </c>
      <c r="I25" s="18"/>
      <c r="J25" s="10">
        <f>SUM(H6:H1000)</f>
        <v>18235000</v>
      </c>
    </row>
    <row r="26" spans="2:11" ht="22.5" x14ac:dyDescent="0.3">
      <c r="H26" s="18" t="s">
        <v>51</v>
      </c>
      <c r="I26" s="18"/>
      <c r="J26" s="10">
        <f>SUM(I6:I1000)</f>
        <v>9117000</v>
      </c>
    </row>
  </sheetData>
  <sheetProtection sheet="1" objects="1" scenarios="1"/>
  <mergeCells count="4">
    <mergeCell ref="B2:K2"/>
    <mergeCell ref="B3:K3"/>
    <mergeCell ref="H25:I25"/>
    <mergeCell ref="H26:I26"/>
  </mergeCells>
  <pageMargins left="0.7" right="0.7" top="0.75" bottom="0.75" header="0.3" footer="0.3"/>
  <ignoredErrors>
    <ignoredError sqref="I1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L26"/>
  <sheetViews>
    <sheetView tabSelected="1" topLeftCell="B1" zoomScaleNormal="100" workbookViewId="0">
      <selection activeCell="B2" sqref="B2:K2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2" width="24.7109375" style="1" customWidth="1"/>
    <col min="13" max="16384" width="9.140625" style="1"/>
  </cols>
  <sheetData>
    <row r="2" spans="2:12" ht="60.75" customHeight="1" x14ac:dyDescent="0.25"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</row>
    <row r="3" spans="2:12" ht="30.75" x14ac:dyDescent="0.25">
      <c r="B3" s="16" t="s">
        <v>55</v>
      </c>
      <c r="C3" s="17"/>
      <c r="D3" s="17"/>
      <c r="E3" s="17"/>
      <c r="F3" s="17"/>
      <c r="G3" s="17"/>
      <c r="H3" s="17"/>
      <c r="I3" s="17"/>
      <c r="J3" s="17"/>
      <c r="K3" s="17"/>
    </row>
    <row r="6" spans="2:12" ht="20.25" x14ac:dyDescent="0.3">
      <c r="B6" s="5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39</v>
      </c>
      <c r="J6" s="5" t="s">
        <v>22</v>
      </c>
      <c r="K6" s="5" t="s">
        <v>7</v>
      </c>
      <c r="L6" s="5" t="s">
        <v>58</v>
      </c>
    </row>
    <row r="7" spans="2:12" ht="16.5" x14ac:dyDescent="0.25">
      <c r="B7" s="3">
        <v>1</v>
      </c>
      <c r="C7" s="14" t="s">
        <v>65</v>
      </c>
      <c r="D7" s="3" t="s">
        <v>23</v>
      </c>
      <c r="E7" s="4">
        <v>38096003688</v>
      </c>
      <c r="F7" s="3" t="s">
        <v>28</v>
      </c>
      <c r="G7" s="3" t="s">
        <v>29</v>
      </c>
      <c r="H7" s="11">
        <v>1300000</v>
      </c>
      <c r="I7" s="11">
        <f>IF(ISNUMBER(H7),H7/2,"")</f>
        <v>650000</v>
      </c>
      <c r="J7" s="3" t="s">
        <v>45</v>
      </c>
      <c r="K7" s="2"/>
      <c r="L7" s="20"/>
    </row>
    <row r="8" spans="2:12" ht="16.5" x14ac:dyDescent="0.25">
      <c r="B8" s="3">
        <f>B7+1</f>
        <v>2</v>
      </c>
      <c r="C8" s="14" t="s">
        <v>63</v>
      </c>
      <c r="D8" s="3" t="s">
        <v>24</v>
      </c>
      <c r="E8" s="4">
        <v>91203011680</v>
      </c>
      <c r="F8" s="3" t="s">
        <v>30</v>
      </c>
      <c r="G8" s="3" t="s">
        <v>31</v>
      </c>
      <c r="H8" s="11">
        <v>1800000</v>
      </c>
      <c r="I8" s="11">
        <f t="shared" ref="H8:I20" si="0">IF(ISNUMBER(H8),H8/2,"")</f>
        <v>900000</v>
      </c>
      <c r="J8" s="19" t="s">
        <v>47</v>
      </c>
      <c r="K8" s="2"/>
      <c r="L8" s="20"/>
    </row>
    <row r="9" spans="2:12" ht="16.5" x14ac:dyDescent="0.25">
      <c r="B9" s="3">
        <f t="shared" ref="B9:B23" si="1">B8+1</f>
        <v>3</v>
      </c>
      <c r="C9" s="14" t="s">
        <v>66</v>
      </c>
      <c r="D9" s="3" t="s">
        <v>25</v>
      </c>
      <c r="E9" s="4">
        <v>89078016404</v>
      </c>
      <c r="F9" s="3" t="s">
        <v>33</v>
      </c>
      <c r="G9" s="3" t="s">
        <v>32</v>
      </c>
      <c r="H9" s="11">
        <v>2545000</v>
      </c>
      <c r="I9" s="11">
        <v>1275000</v>
      </c>
      <c r="J9" s="3" t="s">
        <v>45</v>
      </c>
      <c r="K9" s="2"/>
      <c r="L9" s="20"/>
    </row>
    <row r="10" spans="2:12" ht="16.5" x14ac:dyDescent="0.25">
      <c r="B10" s="3">
        <f t="shared" si="1"/>
        <v>4</v>
      </c>
      <c r="C10" s="14" t="s">
        <v>67</v>
      </c>
      <c r="D10" s="3" t="s">
        <v>26</v>
      </c>
      <c r="E10" s="4">
        <v>89099008054</v>
      </c>
      <c r="F10" s="3" t="s">
        <v>33</v>
      </c>
      <c r="G10" s="3" t="s">
        <v>34</v>
      </c>
      <c r="H10" s="11">
        <v>300000</v>
      </c>
      <c r="I10" s="11">
        <f t="shared" si="0"/>
        <v>150000</v>
      </c>
      <c r="J10" s="3" t="s">
        <v>45</v>
      </c>
      <c r="K10" s="2"/>
      <c r="L10" s="20"/>
    </row>
    <row r="11" spans="2:12" ht="16.5" x14ac:dyDescent="0.25">
      <c r="B11" s="3">
        <f t="shared" si="1"/>
        <v>5</v>
      </c>
      <c r="C11" s="14" t="s">
        <v>64</v>
      </c>
      <c r="D11" s="4" t="s">
        <v>27</v>
      </c>
      <c r="E11" s="4">
        <v>91088020664</v>
      </c>
      <c r="F11" s="3" t="s">
        <v>30</v>
      </c>
      <c r="G11" s="3" t="s">
        <v>37</v>
      </c>
      <c r="H11" s="11">
        <v>1800000</v>
      </c>
      <c r="I11" s="11">
        <f t="shared" si="0"/>
        <v>900000</v>
      </c>
      <c r="J11" s="19" t="s">
        <v>47</v>
      </c>
      <c r="K11" s="2"/>
      <c r="L11" s="20"/>
    </row>
    <row r="12" spans="2:12" ht="16.5" x14ac:dyDescent="0.25">
      <c r="B12" s="21">
        <f t="shared" si="1"/>
        <v>6</v>
      </c>
      <c r="C12" s="22" t="s">
        <v>68</v>
      </c>
      <c r="D12" s="23" t="s">
        <v>38</v>
      </c>
      <c r="E12" s="23" t="s">
        <v>38</v>
      </c>
      <c r="F12" s="23" t="s">
        <v>38</v>
      </c>
      <c r="G12" s="21" t="s">
        <v>59</v>
      </c>
      <c r="H12" s="24">
        <v>310000</v>
      </c>
      <c r="I12" s="24">
        <v>310000</v>
      </c>
      <c r="J12" s="21" t="s">
        <v>45</v>
      </c>
      <c r="K12" s="25"/>
      <c r="L12" s="26" t="s">
        <v>60</v>
      </c>
    </row>
    <row r="13" spans="2:12" ht="16.5" x14ac:dyDescent="0.25">
      <c r="B13" s="21">
        <f t="shared" si="1"/>
        <v>7</v>
      </c>
      <c r="C13" s="22" t="s">
        <v>69</v>
      </c>
      <c r="D13" s="23" t="s">
        <v>38</v>
      </c>
      <c r="E13" s="23" t="s">
        <v>38</v>
      </c>
      <c r="F13" s="23" t="s">
        <v>38</v>
      </c>
      <c r="G13" s="23" t="s">
        <v>38</v>
      </c>
      <c r="H13" s="24">
        <v>755000</v>
      </c>
      <c r="I13" s="24">
        <v>355000</v>
      </c>
      <c r="J13" s="21" t="s">
        <v>45</v>
      </c>
      <c r="K13" s="25"/>
      <c r="L13" s="26" t="s">
        <v>60</v>
      </c>
    </row>
    <row r="14" spans="2:12" ht="16.5" x14ac:dyDescent="0.25">
      <c r="B14" s="3">
        <f t="shared" si="1"/>
        <v>8</v>
      </c>
      <c r="C14" s="14" t="s">
        <v>70</v>
      </c>
      <c r="D14" s="7" t="s">
        <v>38</v>
      </c>
      <c r="E14" s="7" t="s">
        <v>38</v>
      </c>
      <c r="F14" s="7" t="s">
        <v>38</v>
      </c>
      <c r="G14" s="7" t="s">
        <v>38</v>
      </c>
      <c r="H14" s="11">
        <v>1180000</v>
      </c>
      <c r="I14" s="11">
        <f t="shared" si="0"/>
        <v>590000</v>
      </c>
      <c r="J14" s="3" t="s">
        <v>45</v>
      </c>
      <c r="K14" s="2"/>
      <c r="L14" s="20"/>
    </row>
    <row r="15" spans="2:12" ht="16.5" x14ac:dyDescent="0.25">
      <c r="B15" s="3">
        <f t="shared" si="1"/>
        <v>9</v>
      </c>
      <c r="C15" s="14" t="s">
        <v>71</v>
      </c>
      <c r="D15" s="3" t="s">
        <v>42</v>
      </c>
      <c r="E15" s="7" t="s">
        <v>38</v>
      </c>
      <c r="F15" s="8" t="s">
        <v>40</v>
      </c>
      <c r="G15" s="8" t="s">
        <v>41</v>
      </c>
      <c r="H15" s="11"/>
      <c r="I15" s="11" t="str">
        <f t="shared" si="0"/>
        <v/>
      </c>
      <c r="J15" s="3"/>
      <c r="K15" s="2"/>
      <c r="L15" s="20"/>
    </row>
    <row r="16" spans="2:12" ht="16.5" x14ac:dyDescent="0.25">
      <c r="B16" s="3">
        <f t="shared" si="1"/>
        <v>10</v>
      </c>
      <c r="C16" s="14" t="s">
        <v>72</v>
      </c>
      <c r="D16" s="8" t="s">
        <v>57</v>
      </c>
      <c r="E16" s="8">
        <v>49202008987</v>
      </c>
      <c r="F16" s="8" t="s">
        <v>30</v>
      </c>
      <c r="G16" s="8" t="s">
        <v>56</v>
      </c>
      <c r="H16" s="11">
        <v>1800000</v>
      </c>
      <c r="I16" s="11">
        <f t="shared" si="0"/>
        <v>900000</v>
      </c>
      <c r="J16" s="3" t="s">
        <v>45</v>
      </c>
      <c r="K16" s="2"/>
      <c r="L16" s="20"/>
    </row>
    <row r="17" spans="2:12" ht="16.5" x14ac:dyDescent="0.25">
      <c r="B17" s="3">
        <f t="shared" si="1"/>
        <v>11</v>
      </c>
      <c r="C17" s="14" t="s">
        <v>73</v>
      </c>
      <c r="D17" s="8" t="s">
        <v>43</v>
      </c>
      <c r="E17" s="7" t="s">
        <v>38</v>
      </c>
      <c r="F17" s="7" t="s">
        <v>38</v>
      </c>
      <c r="G17" s="8" t="s">
        <v>44</v>
      </c>
      <c r="H17" s="11"/>
      <c r="I17" s="11" t="str">
        <f t="shared" si="0"/>
        <v/>
      </c>
      <c r="J17" s="3"/>
      <c r="K17" s="2"/>
      <c r="L17" s="20"/>
    </row>
    <row r="18" spans="2:12" ht="16.5" x14ac:dyDescent="0.25">
      <c r="B18" s="3">
        <f t="shared" si="1"/>
        <v>12</v>
      </c>
      <c r="C18" s="14" t="s">
        <v>74</v>
      </c>
      <c r="D18" s="7" t="s">
        <v>38</v>
      </c>
      <c r="E18" s="7" t="s">
        <v>38</v>
      </c>
      <c r="F18" s="7" t="s">
        <v>38</v>
      </c>
      <c r="G18" s="8" t="s">
        <v>48</v>
      </c>
      <c r="H18" s="11">
        <v>640000</v>
      </c>
      <c r="I18" s="11">
        <f t="shared" si="0"/>
        <v>320000</v>
      </c>
      <c r="J18" s="3" t="s">
        <v>45</v>
      </c>
      <c r="K18" s="2"/>
      <c r="L18" s="20"/>
    </row>
    <row r="19" spans="2:12" ht="16.5" x14ac:dyDescent="0.25">
      <c r="B19" s="3">
        <f t="shared" si="1"/>
        <v>13</v>
      </c>
      <c r="C19" s="14" t="s">
        <v>75</v>
      </c>
      <c r="D19" s="7" t="s">
        <v>38</v>
      </c>
      <c r="E19" s="7" t="s">
        <v>38</v>
      </c>
      <c r="F19" s="7" t="s">
        <v>38</v>
      </c>
      <c r="G19" s="7" t="s">
        <v>38</v>
      </c>
      <c r="H19" s="11">
        <v>1780000</v>
      </c>
      <c r="I19" s="11">
        <f t="shared" si="0"/>
        <v>890000</v>
      </c>
      <c r="J19" s="3" t="s">
        <v>45</v>
      </c>
      <c r="K19" s="2"/>
      <c r="L19" s="20"/>
    </row>
    <row r="20" spans="2:12" ht="16.5" x14ac:dyDescent="0.25">
      <c r="B20" s="3">
        <f t="shared" si="1"/>
        <v>14</v>
      </c>
      <c r="C20" s="14" t="s">
        <v>62</v>
      </c>
      <c r="D20" s="8" t="s">
        <v>49</v>
      </c>
      <c r="E20" s="8">
        <v>42094001136</v>
      </c>
      <c r="F20" s="8" t="s">
        <v>30</v>
      </c>
      <c r="G20" s="8" t="s">
        <v>61</v>
      </c>
      <c r="H20" s="11"/>
      <c r="I20" s="11" t="str">
        <f t="shared" si="0"/>
        <v/>
      </c>
      <c r="J20" s="3"/>
      <c r="K20" s="2"/>
      <c r="L20" s="20"/>
    </row>
    <row r="21" spans="2:12" s="30" customFormat="1" ht="16.5" x14ac:dyDescent="0.25">
      <c r="B21" s="27">
        <f t="shared" si="1"/>
        <v>15</v>
      </c>
      <c r="C21" s="27" t="s">
        <v>21</v>
      </c>
      <c r="D21" s="27"/>
      <c r="E21" s="27"/>
      <c r="F21" s="27"/>
      <c r="G21" s="27"/>
      <c r="H21" s="27"/>
      <c r="I21" s="28"/>
      <c r="J21" s="27"/>
      <c r="K21" s="29"/>
      <c r="L21" s="29"/>
    </row>
    <row r="22" spans="2:12" ht="16.5" x14ac:dyDescent="0.25">
      <c r="B22" s="3">
        <f t="shared" si="1"/>
        <v>16</v>
      </c>
      <c r="C22" s="3" t="s">
        <v>21</v>
      </c>
      <c r="D22" s="3"/>
      <c r="E22" s="3"/>
      <c r="F22" s="3"/>
      <c r="G22" s="3"/>
      <c r="H22" s="3"/>
      <c r="I22" s="6" t="str">
        <f t="shared" ref="I8:I23" si="2">IF(ISNUMBER(H22),H22/2,"")</f>
        <v/>
      </c>
      <c r="J22" s="3"/>
      <c r="K22" s="2"/>
      <c r="L22" s="20"/>
    </row>
    <row r="23" spans="2:12" ht="16.5" x14ac:dyDescent="0.25">
      <c r="B23" s="3">
        <f t="shared" si="1"/>
        <v>17</v>
      </c>
      <c r="C23" s="3" t="s">
        <v>21</v>
      </c>
      <c r="D23" s="3"/>
      <c r="E23" s="3"/>
      <c r="F23" s="3"/>
      <c r="G23" s="3"/>
      <c r="H23" s="3"/>
      <c r="I23" s="6" t="str">
        <f t="shared" si="2"/>
        <v/>
      </c>
      <c r="J23" s="3"/>
      <c r="K23" s="2"/>
      <c r="L23" s="20"/>
    </row>
    <row r="25" spans="2:12" ht="22.5" x14ac:dyDescent="0.3">
      <c r="H25" s="18" t="s">
        <v>50</v>
      </c>
      <c r="I25" s="18"/>
      <c r="J25" s="10">
        <f>SUM(H7:H1000)</f>
        <v>14210000</v>
      </c>
    </row>
    <row r="26" spans="2:12" ht="22.5" x14ac:dyDescent="0.3">
      <c r="H26" s="18" t="s">
        <v>51</v>
      </c>
      <c r="I26" s="18"/>
      <c r="J26" s="10">
        <f>SUM(I7:I1000)</f>
        <v>7240000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MẪU</vt:lpstr>
      <vt:lpstr>29-12</vt:lpstr>
      <vt:lpstr>30-12</vt:lpstr>
      <vt:lpstr>31-12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2026-01-01T04:48:30Z</dcterms:modified>
</cp:coreProperties>
</file>