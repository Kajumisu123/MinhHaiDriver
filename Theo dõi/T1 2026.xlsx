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uc Anh\Theo dõi\"/>
    </mc:Choice>
  </mc:AlternateContent>
  <xr:revisionPtr revIDLastSave="0" documentId="13_ncr:1_{FC88F11D-A511-48D8-9471-BE6B9357CB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1-01" sheetId="5" r:id="rId1"/>
    <sheet name="02-0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6" l="1"/>
  <c r="I9" i="6"/>
  <c r="I10" i="6"/>
  <c r="I11" i="6"/>
  <c r="I12" i="6"/>
  <c r="I13" i="6"/>
  <c r="I14" i="6"/>
  <c r="I15" i="6"/>
  <c r="I16" i="6"/>
  <c r="I17" i="6"/>
  <c r="I18" i="6"/>
  <c r="I19" i="6"/>
  <c r="I9" i="5"/>
  <c r="J25" i="6"/>
  <c r="I23" i="6"/>
  <c r="I22" i="6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I7" i="6"/>
  <c r="J26" i="6" l="1"/>
  <c r="I10" i="5"/>
  <c r="I11" i="5"/>
  <c r="I12" i="5"/>
  <c r="I14" i="5"/>
  <c r="I15" i="5"/>
  <c r="I16" i="5"/>
  <c r="I17" i="5"/>
  <c r="I18" i="5"/>
  <c r="I19" i="5"/>
  <c r="I23" i="5" l="1"/>
  <c r="I22" i="5"/>
  <c r="J25" i="5" l="1"/>
  <c r="J26" i="5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</calcChain>
</file>

<file path=xl/sharedStrings.xml><?xml version="1.0" encoding="utf-8"?>
<sst xmlns="http://schemas.openxmlformats.org/spreadsheetml/2006/main" count="189" uniqueCount="74">
  <si>
    <t>STT</t>
  </si>
  <si>
    <t>HỌ TÊN</t>
  </si>
  <si>
    <t>CCCD</t>
  </si>
  <si>
    <t>ĐỊA CHỈ</t>
  </si>
  <si>
    <t>DOANH THU</t>
  </si>
  <si>
    <t>BILL</t>
  </si>
  <si>
    <t>NULL</t>
  </si>
  <si>
    <t>HÌNH THỨC</t>
  </si>
  <si>
    <t>0975 734 763</t>
  </si>
  <si>
    <t>0915 192 340</t>
  </si>
  <si>
    <t>0974 650 440</t>
  </si>
  <si>
    <t>0969 010 942</t>
  </si>
  <si>
    <t>0945 414 842</t>
  </si>
  <si>
    <t>THANH HÓA</t>
  </si>
  <si>
    <t>68HC 001.92</t>
  </si>
  <si>
    <t>KIÊN GIANG</t>
  </si>
  <si>
    <t>68HC 001.84</t>
  </si>
  <si>
    <t>68HC 001.81</t>
  </si>
  <si>
    <t>AN GIANG</t>
  </si>
  <si>
    <t xml:space="preserve">68HC 001.89 </t>
  </si>
  <si>
    <t>THỰC LÃNH</t>
  </si>
  <si>
    <t>HÀ TĨNH</t>
  </si>
  <si>
    <t>68HC 001.63</t>
  </si>
  <si>
    <t>0989 272 425</t>
  </si>
  <si>
    <t>0832 565 558</t>
  </si>
  <si>
    <t>68HC 001.71</t>
  </si>
  <si>
    <t>TM</t>
  </si>
  <si>
    <t>68HC 001.33</t>
  </si>
  <si>
    <t>0784 617 223</t>
  </si>
  <si>
    <t>TỔNG DOANH THU</t>
  </si>
  <si>
    <t>TỔNG THỰC LÃNH</t>
  </si>
  <si>
    <t>CÔNG TY TNHH MTV VẬN TẢI VÀ DU LỊCH MINH HẢI</t>
  </si>
  <si>
    <t xml:space="preserve">68HC 001.78 </t>
  </si>
  <si>
    <t>0369 922 571</t>
  </si>
  <si>
    <t>NOTE</t>
  </si>
  <si>
    <t xml:space="preserve">68HC 001.70 </t>
  </si>
  <si>
    <t>68HC 001.98</t>
  </si>
  <si>
    <t>QUANG HÀ (VIN)</t>
  </si>
  <si>
    <t>TRƯƠNG VŨ CA (VŨ LINH) (Vin)</t>
  </si>
  <si>
    <t>NGUYỄN CHÍ BÌNH (Vin)</t>
  </si>
  <si>
    <t>LÊ VĂN TÙNG (Sun)</t>
  </si>
  <si>
    <t>ĐỖ VĂN CHUNG (Sun)</t>
  </si>
  <si>
    <t>NAM DO (Sun)</t>
  </si>
  <si>
    <t>NGUYỄN QUỐC NAM (Sun)</t>
  </si>
  <si>
    <t>NHẤT (Sun)</t>
  </si>
  <si>
    <t>TRẦN THIỆN (Sun)</t>
  </si>
  <si>
    <t>THANH  (Sun)</t>
  </si>
  <si>
    <t>VĂN HẠNH (Sun)</t>
  </si>
  <si>
    <t xml:space="preserve">68HC 001.93 </t>
  </si>
  <si>
    <t>BIỂN SỐ</t>
  </si>
  <si>
    <t>SDT</t>
  </si>
  <si>
    <t>TIME</t>
  </si>
  <si>
    <t>TRẦN VIẾT HÙNG (Sun)</t>
  </si>
  <si>
    <t>NINH BÌNH</t>
  </si>
  <si>
    <t>0917 387 279</t>
  </si>
  <si>
    <t>DOANH THU 01/01/2026</t>
  </si>
  <si>
    <t>68HC 001.34</t>
  </si>
  <si>
    <t>68HC 001.36</t>
  </si>
  <si>
    <t>Biển số</t>
  </si>
  <si>
    <t>0972 789 389</t>
  </si>
  <si>
    <t>HẬU GIANG</t>
  </si>
  <si>
    <t>0911 181 895</t>
  </si>
  <si>
    <t>BẠC LIÊU</t>
  </si>
  <si>
    <t>0981 436 488</t>
  </si>
  <si>
    <t>LONG AN</t>
  </si>
  <si>
    <t xml:space="preserve">Tỉ lệ: </t>
  </si>
  <si>
    <t>6;4</t>
  </si>
  <si>
    <t xml:space="preserve">LÊ THÀNH LẬP (Hiếu) (Sun) </t>
  </si>
  <si>
    <t>Nhâm</t>
  </si>
  <si>
    <t>Vũ</t>
  </si>
  <si>
    <t xml:space="preserve"> </t>
  </si>
  <si>
    <t>CK</t>
  </si>
  <si>
    <t>Elly nợ 500k</t>
  </si>
  <si>
    <t xml:space="preserve">Người mới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</si>
</sst>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18" x14ac:knownFonts="1">
    <font>
      <sz val="11"/>
      <color theme="1"/>
      <name val="Calibri"/>
      <family val="2"/>
      <scheme val="minor"/>
    </font>
    <font>
      <sz val="13"/>
      <color rgb="FF9C0006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6"/>
      <color rgb="FF9C0006"/>
      <name val="Times New Roman"/>
      <family val="2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sz val="18"/>
      <color rgb="FFFA7D00"/>
      <name val="Times New Roman"/>
      <family val="2"/>
    </font>
    <font>
      <b/>
      <sz val="18"/>
      <color rgb="FF3F3F3F"/>
      <name val="Times New Roman"/>
      <family val="2"/>
    </font>
    <font>
      <b/>
      <sz val="13"/>
      <color theme="1"/>
      <name val="Times New Roman"/>
      <family val="1"/>
    </font>
    <font>
      <b/>
      <sz val="13"/>
      <color rgb="FF081B3A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36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0" xfId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3" fillId="3" borderId="2" xfId="2" applyNumberFormat="1" applyFont="1"/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3" borderId="1" xfId="3" applyFont="1"/>
    <xf numFmtId="0" fontId="2" fillId="3" borderId="2" xfId="2"/>
    <xf numFmtId="20" fontId="16" fillId="0" borderId="0" xfId="0" applyNumberFormat="1" applyFont="1" applyAlignment="1">
      <alignment horizontal="right"/>
    </xf>
    <xf numFmtId="3" fontId="4" fillId="0" borderId="0" xfId="0" applyNumberFormat="1" applyFont="1"/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3" borderId="1" xfId="3" applyFont="1" applyAlignment="1">
      <alignment horizontal="center"/>
    </xf>
    <xf numFmtId="164" fontId="14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</cellXfs>
  <cellStyles count="4">
    <cellStyle name="Bad" xfId="1" builtinId="27"/>
    <cellStyle name="Calculation" xfId="3" builtinId="22"/>
    <cellStyle name="Normal" xfId="0" builtinId="0"/>
    <cellStyle name="Output" xfId="2" builtinId="21"/>
  </cellStyles>
  <dxfs count="30"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9B90D4-454D-4880-B31D-A91C2CDC83A9}" name="Table145" displayName="Table145" ref="B6:M23" totalsRowShown="0" headerRowDxfId="29" dataDxfId="28" tableBorderDxfId="27" headerRowCellStyle="Bad" dataCellStyle="Normal">
  <autoFilter ref="B6:M23" xr:uid="{D102E08B-F339-41A7-8779-8E498408C686}"/>
  <tableColumns count="12">
    <tableColumn id="1" xr3:uid="{414C8D44-6DC4-4B86-8E3A-5339812C50FB}" name="STT" dataDxfId="26" dataCellStyle="Normal"/>
    <tableColumn id="2" xr3:uid="{6FAD5AB5-298C-4A36-ABDC-A5D9637FDD1B}" name="HỌ TÊN" dataDxfId="25" dataCellStyle="Normal"/>
    <tableColumn id="3" xr3:uid="{B8AA6E27-3B1B-40DE-899F-FFE99DDB57E5}" name="SDT" dataDxfId="24" dataCellStyle="Normal"/>
    <tableColumn id="4" xr3:uid="{4A9ADB20-D7DF-41CA-A8B0-984E178EC636}" name="CCCD" dataDxfId="23" dataCellStyle="Normal"/>
    <tableColumn id="5" xr3:uid="{9B2F3F47-F0A9-472C-BEF4-AE2187C4E05F}" name="ĐỊA CHỈ" dataDxfId="22" dataCellStyle="Normal"/>
    <tableColumn id="6" xr3:uid="{A93CFF17-7D8F-4ADE-9556-9E23EA0BDBC5}" name="BIỂN SỐ" dataDxfId="21" dataCellStyle="Normal"/>
    <tableColumn id="7" xr3:uid="{D22577A6-97FC-4DD1-91D6-50E6CF26FEF7}" name="DOANH THU" dataDxfId="20" dataCellStyle="Normal"/>
    <tableColumn id="8" xr3:uid="{B0C89032-0AB4-4BCC-90ED-56250C2EDD5D}" name="THỰC LÃNH" dataDxfId="19" dataCellStyle="Normal"/>
    <tableColumn id="9" xr3:uid="{216960B2-93E0-43AB-B56B-23F8BB3330DB}" name="HÌNH THỨC" dataDxfId="18" dataCellStyle="Normal"/>
    <tableColumn id="10" xr3:uid="{7060E0DD-09FF-405F-A9FC-E7C96FDB4D0F}" name="BILL" dataDxfId="17" dataCellStyle="Normal"/>
    <tableColumn id="12" xr3:uid="{1AB46D3F-E8BE-4D51-AEF4-ED22A0C3ACF4}" name="NOTE" dataDxfId="16" dataCellStyle="Normal"/>
    <tableColumn id="11" xr3:uid="{A433299F-94CA-47C8-AE3A-BF29422D90EA}" name="TIME" dataDxfId="15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E112E-9FFD-4DE3-AB43-DC2522DF0F97}" name="Table1452" displayName="Table1452" ref="B6:M23" totalsRowShown="0" headerRowDxfId="14" dataDxfId="13" tableBorderDxfId="12" headerRowCellStyle="Bad" dataCellStyle="Normal">
  <autoFilter ref="B6:M23" xr:uid="{D102E08B-F339-41A7-8779-8E498408C686}"/>
  <tableColumns count="12">
    <tableColumn id="1" xr3:uid="{A0647350-C5C2-4A5A-9CE6-9C91A4BF1448}" name="STT" dataDxfId="11" dataCellStyle="Normal"/>
    <tableColumn id="2" xr3:uid="{E5CB0A83-0EE8-4763-BEA5-F47D20895CEB}" name="HỌ TÊN" dataDxfId="10" dataCellStyle="Normal"/>
    <tableColumn id="3" xr3:uid="{55163D38-55AB-49C5-AFDB-11106B1FB5EA}" name="SDT" dataDxfId="9" dataCellStyle="Normal"/>
    <tableColumn id="4" xr3:uid="{9DEEAE65-0EE6-4FDE-B947-A5EF76C2BD87}" name="CCCD" dataDxfId="8" dataCellStyle="Normal"/>
    <tableColumn id="5" xr3:uid="{5AFA717A-7A2A-4331-928B-98CBBDCDA0A2}" name="ĐỊA CHỈ" dataDxfId="7" dataCellStyle="Normal"/>
    <tableColumn id="6" xr3:uid="{F2FCA384-1F8E-40F4-BB65-79B0B14C2A89}" name="BIỂN SỐ" dataDxfId="6" dataCellStyle="Normal"/>
    <tableColumn id="7" xr3:uid="{FAE54719-B24E-4B85-BE9E-FBF95DD0E092}" name="DOANH THU" dataDxfId="5" dataCellStyle="Normal"/>
    <tableColumn id="8" xr3:uid="{36C3D2A6-4BF9-4A93-AD0A-18E2598162BA}" name="THỰC LÃNH" dataDxfId="4" dataCellStyle="Normal"/>
    <tableColumn id="9" xr3:uid="{BE0DF11B-4989-41AA-BEA3-81D6A56606B1}" name="HÌNH THỨC" dataDxfId="3" dataCellStyle="Normal"/>
    <tableColumn id="10" xr3:uid="{E428066A-6A33-430A-95DD-8E25B28D626C}" name="BILL" dataDxfId="2" dataCellStyle="Normal"/>
    <tableColumn id="12" xr3:uid="{928FFCBD-7074-4A5E-93E9-512B6CDBAC46}" name="NOTE" dataDxfId="1" dataCellStyle="Normal"/>
    <tableColumn id="11" xr3:uid="{054F524A-B0EB-4441-9D2F-48D3D98CB664}" name="TIME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D608-160F-4BF1-86F8-D9455234BF27}">
  <sheetPr codeName="Sheet4"/>
  <dimension ref="B2:M55"/>
  <sheetViews>
    <sheetView tabSelected="1" zoomScaleNormal="100" workbookViewId="0">
      <selection activeCell="J19" sqref="J19"/>
    </sheetView>
  </sheetViews>
  <sheetFormatPr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28" t="s">
        <v>31</v>
      </c>
      <c r="C2" s="28"/>
      <c r="D2" s="28"/>
      <c r="E2" s="28"/>
      <c r="F2" s="28"/>
      <c r="G2" s="28"/>
      <c r="H2" s="28"/>
      <c r="I2" s="28"/>
      <c r="J2" s="28"/>
      <c r="K2" s="28"/>
    </row>
    <row r="3" spans="2:13" ht="30.75" x14ac:dyDescent="0.25">
      <c r="B3" s="29" t="s">
        <v>55</v>
      </c>
      <c r="C3" s="30"/>
      <c r="D3" s="30"/>
      <c r="E3" s="30"/>
      <c r="F3" s="30"/>
      <c r="G3" s="30"/>
      <c r="H3" s="30"/>
      <c r="I3" s="30"/>
      <c r="J3" s="30"/>
      <c r="K3" s="30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1940000</v>
      </c>
      <c r="I7" s="32">
        <v>660000</v>
      </c>
      <c r="J7" s="3" t="s">
        <v>71</v>
      </c>
      <c r="K7" s="2"/>
      <c r="L7" s="2" t="s">
        <v>72</v>
      </c>
      <c r="M7" s="12"/>
    </row>
    <row r="8" spans="2:13" ht="16.5" x14ac:dyDescent="0.25">
      <c r="B8" s="3">
        <f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1960000</v>
      </c>
      <c r="I8" s="10">
        <v>1180000</v>
      </c>
      <c r="J8" s="33" t="s">
        <v>26</v>
      </c>
      <c r="K8" s="2"/>
      <c r="L8" s="27"/>
      <c r="M8" s="12"/>
    </row>
    <row r="9" spans="2:13" ht="16.5" x14ac:dyDescent="0.25">
      <c r="B9" s="3">
        <f>B8 +1</f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1450000</v>
      </c>
      <c r="I9" s="10">
        <f>H9*$E$25</f>
        <v>870000</v>
      </c>
      <c r="J9" s="3" t="s">
        <v>71</v>
      </c>
      <c r="K9" s="2"/>
      <c r="L9" s="2"/>
      <c r="M9" s="12"/>
    </row>
    <row r="10" spans="2:13" ht="16.5" x14ac:dyDescent="0.25">
      <c r="B10" s="3">
        <f>B9 +1</f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1700000</v>
      </c>
      <c r="I10" s="10">
        <f>H10*$E$25</f>
        <v>1020000</v>
      </c>
      <c r="J10" s="3" t="s">
        <v>71</v>
      </c>
      <c r="K10" s="2"/>
      <c r="L10" s="2"/>
      <c r="M10" s="12"/>
    </row>
    <row r="11" spans="2:13" ht="16.5" x14ac:dyDescent="0.25">
      <c r="B11" s="3">
        <f>B10 +1</f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1950000</v>
      </c>
      <c r="I11" s="10">
        <f>H11*$E$25</f>
        <v>1170000</v>
      </c>
      <c r="J11" s="33" t="s">
        <v>26</v>
      </c>
      <c r="K11" s="2"/>
      <c r="L11" s="2"/>
      <c r="M11" s="12"/>
    </row>
    <row r="12" spans="2:13" ht="16.5" x14ac:dyDescent="0.25">
      <c r="B12" s="3">
        <f>B11 +1</f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1955000</v>
      </c>
      <c r="I12" s="10">
        <f>H12*$E$25</f>
        <v>1173000</v>
      </c>
      <c r="J12" s="3" t="s">
        <v>71</v>
      </c>
      <c r="K12" s="2"/>
      <c r="L12" s="2"/>
      <c r="M12" s="13"/>
    </row>
    <row r="13" spans="2:13" ht="16.5" x14ac:dyDescent="0.25">
      <c r="B13" s="3">
        <f>B12 +1</f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1720000</v>
      </c>
      <c r="I13" s="10">
        <v>1030000</v>
      </c>
      <c r="J13" s="3" t="s">
        <v>71</v>
      </c>
      <c r="K13" s="2"/>
      <c r="L13" s="2"/>
      <c r="M13" s="12"/>
    </row>
    <row r="14" spans="2:13" ht="16.5" x14ac:dyDescent="0.25">
      <c r="B14" s="3">
        <f>B13 +1</f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1750000</v>
      </c>
      <c r="I14" s="10">
        <f>H14*$E$25</f>
        <v>1050000</v>
      </c>
      <c r="J14" s="3" t="s">
        <v>71</v>
      </c>
      <c r="K14" s="2"/>
      <c r="L14" s="2"/>
      <c r="M14" s="13"/>
    </row>
    <row r="15" spans="2:13" ht="16.5" x14ac:dyDescent="0.25">
      <c r="B15" s="3">
        <f>B14 +1</f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1750000</v>
      </c>
      <c r="I15" s="10">
        <f>H15*$E$25</f>
        <v>1050000</v>
      </c>
      <c r="J15" s="3" t="s">
        <v>71</v>
      </c>
      <c r="K15" s="2"/>
      <c r="L15" s="2"/>
      <c r="M15" s="12"/>
    </row>
    <row r="16" spans="2:13" ht="16.5" x14ac:dyDescent="0.25">
      <c r="B16" s="3">
        <f>B15 +1</f>
        <v>10</v>
      </c>
      <c r="C16" s="11" t="s">
        <v>46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1710000</v>
      </c>
      <c r="I16" s="10">
        <f>H16*$E$25</f>
        <v>1026000</v>
      </c>
      <c r="J16" s="3" t="s">
        <v>71</v>
      </c>
      <c r="K16" s="2"/>
      <c r="L16" s="2"/>
      <c r="M16" s="12"/>
    </row>
    <row r="17" spans="2:13" ht="16.5" x14ac:dyDescent="0.25">
      <c r="B17" s="3">
        <f>B16 +1</f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>
        <v>1760000</v>
      </c>
      <c r="I17" s="10">
        <f>H17*$E$25</f>
        <v>1056000</v>
      </c>
      <c r="J17" s="3" t="s">
        <v>71</v>
      </c>
      <c r="K17" s="2"/>
      <c r="L17" s="2"/>
      <c r="M17" s="12"/>
    </row>
    <row r="18" spans="2:13" ht="16.5" x14ac:dyDescent="0.25">
      <c r="B18" s="3">
        <f>B17 +1</f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1940000</v>
      </c>
      <c r="I18" s="10">
        <f>H18*$E$25</f>
        <v>1164000</v>
      </c>
      <c r="J18" s="33" t="s">
        <v>26</v>
      </c>
      <c r="K18" s="2"/>
      <c r="L18" s="2"/>
      <c r="M18" s="12"/>
    </row>
    <row r="19" spans="2:13" ht="16.5" x14ac:dyDescent="0.25">
      <c r="B19" s="3">
        <f>B18 +1</f>
        <v>13</v>
      </c>
      <c r="C19" s="15" t="s">
        <v>52</v>
      </c>
      <c r="D19" s="8" t="s">
        <v>54</v>
      </c>
      <c r="E19" s="7"/>
      <c r="F19" s="8" t="s">
        <v>53</v>
      </c>
      <c r="G19" s="14" t="s">
        <v>35</v>
      </c>
      <c r="H19" s="10"/>
      <c r="I19" s="10">
        <f>H19*$E$25</f>
        <v>0</v>
      </c>
      <c r="J19" s="3"/>
      <c r="K19" s="2"/>
      <c r="L19" s="2"/>
      <c r="M19" s="12"/>
    </row>
    <row r="20" spans="2:13" ht="16.5" x14ac:dyDescent="0.25">
      <c r="B20" s="3">
        <f>B19 +1</f>
        <v>14</v>
      </c>
      <c r="C20" s="11"/>
      <c r="D20" s="7"/>
      <c r="E20" s="7"/>
      <c r="F20" s="7"/>
      <c r="G20" s="7"/>
      <c r="H20" s="10"/>
      <c r="I20" s="10"/>
      <c r="J20" s="3"/>
      <c r="K20" s="2"/>
      <c r="L20" s="2"/>
      <c r="M20" s="12"/>
    </row>
    <row r="21" spans="2:13" ht="16.5" x14ac:dyDescent="0.25">
      <c r="B21" s="3">
        <f>B20 +1</f>
        <v>15</v>
      </c>
      <c r="C21" s="16"/>
      <c r="D21" s="3"/>
      <c r="E21" s="3"/>
      <c r="F21" s="3"/>
      <c r="G21" s="3"/>
      <c r="H21" s="3"/>
      <c r="I21" s="10"/>
      <c r="J21" s="3"/>
      <c r="K21" s="2"/>
      <c r="L21" s="2"/>
      <c r="M21" s="12"/>
    </row>
    <row r="22" spans="2:13" ht="16.5" x14ac:dyDescent="0.25">
      <c r="B22" s="3">
        <f>B21 +1</f>
        <v>16</v>
      </c>
      <c r="C22" s="3" t="s">
        <v>70</v>
      </c>
      <c r="D22" s="3"/>
      <c r="E22" s="3"/>
      <c r="F22" s="3"/>
      <c r="G22" s="3"/>
      <c r="H22" s="3"/>
      <c r="I22" s="6" t="str">
        <f>IF(ISNUMBER(H22),H22/2,"")</f>
        <v/>
      </c>
      <c r="J22" s="3"/>
      <c r="K22" s="2"/>
      <c r="L22" s="2"/>
      <c r="M22" s="12"/>
    </row>
    <row r="23" spans="2:13" ht="16.5" x14ac:dyDescent="0.25">
      <c r="B23" s="3">
        <f>B22 +1</f>
        <v>17</v>
      </c>
      <c r="C23" s="3" t="s">
        <v>6</v>
      </c>
      <c r="D23" s="3"/>
      <c r="E23" s="3"/>
      <c r="F23" s="3"/>
      <c r="G23" s="3"/>
      <c r="H23" s="3"/>
      <c r="I23" s="6" t="str">
        <f>IF(ISNUMBER(H23),H23/2,"")</f>
        <v/>
      </c>
      <c r="J23" s="3"/>
      <c r="K23" s="2"/>
      <c r="L23" s="2"/>
      <c r="M23" s="12"/>
    </row>
    <row r="25" spans="2:13" ht="22.5" x14ac:dyDescent="0.3">
      <c r="D25" s="23" t="s">
        <v>65</v>
      </c>
      <c r="E25" s="24">
        <v>0.6</v>
      </c>
      <c r="F25" s="25" t="s">
        <v>66</v>
      </c>
      <c r="H25" s="31" t="s">
        <v>29</v>
      </c>
      <c r="I25" s="31"/>
      <c r="J25" s="9">
        <f>SUM(H7:H1000)</f>
        <v>21585000</v>
      </c>
    </row>
    <row r="26" spans="2:13" ht="22.5" x14ac:dyDescent="0.3">
      <c r="H26" s="31" t="s">
        <v>30</v>
      </c>
      <c r="I26" s="31"/>
      <c r="J26" s="9">
        <f>SUM(I7:I1000)</f>
        <v>12449000</v>
      </c>
    </row>
    <row r="42" spans="2:2" x14ac:dyDescent="0.25">
      <c r="B42" s="22" t="s">
        <v>58</v>
      </c>
    </row>
    <row r="43" spans="2:2" ht="16.5" x14ac:dyDescent="0.25">
      <c r="B43" s="17" t="s">
        <v>14</v>
      </c>
    </row>
    <row r="44" spans="2:2" ht="16.5" x14ac:dyDescent="0.25">
      <c r="B44" s="18" t="s">
        <v>16</v>
      </c>
    </row>
    <row r="45" spans="2:2" ht="16.5" x14ac:dyDescent="0.25">
      <c r="B45" s="17" t="s">
        <v>17</v>
      </c>
    </row>
    <row r="46" spans="2:2" ht="16.5" x14ac:dyDescent="0.25">
      <c r="B46" s="18" t="s">
        <v>48</v>
      </c>
    </row>
    <row r="47" spans="2:2" ht="16.5" x14ac:dyDescent="0.25">
      <c r="B47" s="17" t="s">
        <v>19</v>
      </c>
    </row>
    <row r="48" spans="2:2" ht="16.5" x14ac:dyDescent="0.25">
      <c r="B48" s="19" t="s">
        <v>56</v>
      </c>
    </row>
    <row r="49" spans="2:2" ht="16.5" x14ac:dyDescent="0.25">
      <c r="B49" s="20" t="s">
        <v>22</v>
      </c>
    </row>
    <row r="50" spans="2:2" ht="16.5" x14ac:dyDescent="0.25">
      <c r="B50" s="19" t="s">
        <v>32</v>
      </c>
    </row>
    <row r="51" spans="2:2" ht="16.5" x14ac:dyDescent="0.25">
      <c r="B51" s="20" t="s">
        <v>25</v>
      </c>
    </row>
    <row r="52" spans="2:2" ht="16.5" x14ac:dyDescent="0.25">
      <c r="B52" s="19" t="s">
        <v>27</v>
      </c>
    </row>
    <row r="53" spans="2:2" ht="16.5" x14ac:dyDescent="0.25">
      <c r="B53" s="20" t="s">
        <v>57</v>
      </c>
    </row>
    <row r="54" spans="2:2" ht="16.5" x14ac:dyDescent="0.25">
      <c r="B54" s="19" t="s">
        <v>36</v>
      </c>
    </row>
    <row r="55" spans="2:2" ht="16.5" x14ac:dyDescent="0.25">
      <c r="B55" s="21" t="s">
        <v>35</v>
      </c>
    </row>
  </sheetData>
  <mergeCells count="4">
    <mergeCell ref="B2:K2"/>
    <mergeCell ref="B3:K3"/>
    <mergeCell ref="H25:I25"/>
    <mergeCell ref="H26:I2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5E95-9A1F-428C-A980-7358A9B2F390}">
  <sheetPr codeName="Sheet5"/>
  <dimension ref="A2:M55"/>
  <sheetViews>
    <sheetView zoomScale="115" zoomScaleNormal="115" workbookViewId="0">
      <selection activeCell="C18" sqref="C18"/>
    </sheetView>
  </sheetViews>
  <sheetFormatPr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28" t="s">
        <v>31</v>
      </c>
      <c r="C2" s="28"/>
      <c r="D2" s="28"/>
      <c r="E2" s="28"/>
      <c r="F2" s="28"/>
      <c r="G2" s="28"/>
      <c r="H2" s="28"/>
      <c r="I2" s="28"/>
      <c r="J2" s="28"/>
      <c r="K2" s="28"/>
    </row>
    <row r="3" spans="2:13" ht="30.75" x14ac:dyDescent="0.25">
      <c r="B3" s="29" t="s">
        <v>55</v>
      </c>
      <c r="C3" s="30"/>
      <c r="D3" s="30"/>
      <c r="E3" s="30"/>
      <c r="F3" s="30"/>
      <c r="G3" s="30"/>
      <c r="H3" s="30"/>
      <c r="I3" s="30"/>
      <c r="J3" s="30"/>
      <c r="K3" s="30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/>
      <c r="I7" s="10">
        <f>H7*$E$25</f>
        <v>0</v>
      </c>
      <c r="J7" s="3"/>
      <c r="K7" s="2"/>
      <c r="L7" s="2"/>
      <c r="M7" s="12"/>
    </row>
    <row r="8" spans="2:13" ht="16.5" x14ac:dyDescent="0.25">
      <c r="B8" s="3">
        <f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/>
      <c r="I8" s="10">
        <f t="shared" ref="I8:I19" si="0">H8*$E$25</f>
        <v>0</v>
      </c>
      <c r="J8" s="16"/>
      <c r="K8" s="2"/>
      <c r="L8" s="27"/>
      <c r="M8" s="12"/>
    </row>
    <row r="9" spans="2:13" ht="16.5" x14ac:dyDescent="0.25">
      <c r="B9" s="3">
        <f>B8 +1</f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/>
      <c r="I9" s="10">
        <f t="shared" si="0"/>
        <v>0</v>
      </c>
      <c r="J9" s="3"/>
      <c r="K9" s="2"/>
      <c r="L9" s="2"/>
      <c r="M9" s="12"/>
    </row>
    <row r="10" spans="2:13" ht="16.5" x14ac:dyDescent="0.25">
      <c r="B10" s="3">
        <f t="shared" ref="B10:B23" si="1">B9 +1</f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/>
      <c r="I10" s="10">
        <f t="shared" si="0"/>
        <v>0</v>
      </c>
      <c r="J10" s="3"/>
      <c r="K10" s="2"/>
      <c r="L10" s="2"/>
      <c r="M10" s="12"/>
    </row>
    <row r="11" spans="2:13" ht="16.5" x14ac:dyDescent="0.25">
      <c r="B11" s="3">
        <f t="shared" si="1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/>
      <c r="I11" s="10">
        <f t="shared" si="0"/>
        <v>0</v>
      </c>
      <c r="J11" s="16"/>
      <c r="K11" s="2"/>
      <c r="L11" s="2"/>
      <c r="M11" s="12"/>
    </row>
    <row r="12" spans="2:13" ht="16.5" x14ac:dyDescent="0.25">
      <c r="B12" s="3">
        <f t="shared" si="1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/>
      <c r="I12" s="10">
        <f t="shared" si="0"/>
        <v>0</v>
      </c>
      <c r="J12" s="3"/>
      <c r="K12" s="2"/>
      <c r="L12" s="2"/>
      <c r="M12" s="13">
        <v>0.44722222222222224</v>
      </c>
    </row>
    <row r="13" spans="2:13" ht="16.5" x14ac:dyDescent="0.25">
      <c r="B13" s="3">
        <f t="shared" si="1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/>
      <c r="I13" s="10">
        <f t="shared" si="0"/>
        <v>0</v>
      </c>
      <c r="J13" s="3"/>
      <c r="K13" s="2"/>
      <c r="L13" s="2"/>
      <c r="M13" s="12"/>
    </row>
    <row r="14" spans="2:13" ht="16.5" x14ac:dyDescent="0.25">
      <c r="B14" s="3">
        <f t="shared" si="1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/>
      <c r="I14" s="10">
        <f t="shared" si="0"/>
        <v>0</v>
      </c>
      <c r="J14" s="3"/>
      <c r="K14" s="2"/>
      <c r="L14" s="2"/>
      <c r="M14" s="13">
        <v>0.38194444444444442</v>
      </c>
    </row>
    <row r="15" spans="2:13" ht="16.5" x14ac:dyDescent="0.25">
      <c r="B15" s="3">
        <f t="shared" si="1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/>
      <c r="I15" s="10">
        <f t="shared" si="0"/>
        <v>0</v>
      </c>
      <c r="J15" s="3"/>
      <c r="K15" s="2"/>
      <c r="L15" s="2"/>
      <c r="M15" s="12"/>
    </row>
    <row r="16" spans="2:13" ht="16.5" x14ac:dyDescent="0.25">
      <c r="B16" s="3">
        <f t="shared" si="1"/>
        <v>10</v>
      </c>
      <c r="C16" s="11" t="s">
        <v>46</v>
      </c>
      <c r="D16" s="8" t="s">
        <v>61</v>
      </c>
      <c r="E16" s="8">
        <v>95095009661</v>
      </c>
      <c r="F16" s="8" t="s">
        <v>62</v>
      </c>
      <c r="G16" s="8" t="s">
        <v>27</v>
      </c>
      <c r="H16" s="10"/>
      <c r="I16" s="10">
        <f t="shared" si="0"/>
        <v>0</v>
      </c>
      <c r="J16" s="3"/>
      <c r="K16" s="2"/>
      <c r="L16" s="2"/>
      <c r="M16" s="12"/>
    </row>
    <row r="17" spans="1:13" ht="16.5" x14ac:dyDescent="0.25">
      <c r="B17" s="3">
        <f t="shared" si="1"/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/>
      <c r="I17" s="10">
        <f t="shared" si="0"/>
        <v>0</v>
      </c>
      <c r="J17" s="3"/>
      <c r="K17" s="2"/>
      <c r="L17" s="2"/>
      <c r="M17" s="12"/>
    </row>
    <row r="18" spans="1:13" ht="16.5" x14ac:dyDescent="0.25">
      <c r="B18" s="3">
        <f t="shared" si="1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/>
      <c r="I18" s="10">
        <f t="shared" si="0"/>
        <v>0</v>
      </c>
      <c r="J18" s="16"/>
      <c r="K18" s="2"/>
      <c r="L18" s="2"/>
      <c r="M18" s="12"/>
    </row>
    <row r="19" spans="1:13" ht="16.5" x14ac:dyDescent="0.25">
      <c r="B19" s="3">
        <f t="shared" si="1"/>
        <v>13</v>
      </c>
      <c r="C19" s="15" t="s">
        <v>52</v>
      </c>
      <c r="D19" s="8" t="s">
        <v>54</v>
      </c>
      <c r="E19" s="7"/>
      <c r="F19" s="8" t="s">
        <v>53</v>
      </c>
      <c r="G19" s="14" t="s">
        <v>35</v>
      </c>
      <c r="H19" s="10"/>
      <c r="I19" s="10">
        <f t="shared" si="0"/>
        <v>0</v>
      </c>
      <c r="J19" s="3"/>
      <c r="K19" s="2"/>
      <c r="L19" s="2"/>
      <c r="M19" s="12"/>
    </row>
    <row r="20" spans="1:13" ht="16.5" x14ac:dyDescent="0.25">
      <c r="A20" s="34" t="s">
        <v>73</v>
      </c>
      <c r="B20" s="35">
        <f t="shared" si="1"/>
        <v>14</v>
      </c>
      <c r="C20" s="11" t="s">
        <v>68</v>
      </c>
      <c r="D20" s="7"/>
      <c r="E20" s="7"/>
      <c r="F20" s="7"/>
      <c r="G20" s="7"/>
      <c r="H20" s="10"/>
      <c r="I20" s="10"/>
      <c r="J20" s="3"/>
      <c r="K20" s="2"/>
      <c r="L20" s="2"/>
      <c r="M20" s="12"/>
    </row>
    <row r="21" spans="1:13" ht="16.5" x14ac:dyDescent="0.25">
      <c r="A21" s="34" t="s">
        <v>73</v>
      </c>
      <c r="B21" s="35">
        <f>B20 +1</f>
        <v>15</v>
      </c>
      <c r="C21" s="11" t="s">
        <v>69</v>
      </c>
      <c r="D21" s="3"/>
      <c r="E21" s="3"/>
      <c r="F21" s="3"/>
      <c r="G21" s="3"/>
      <c r="H21" s="3"/>
      <c r="I21" s="10"/>
      <c r="J21" s="3"/>
      <c r="K21" s="2"/>
      <c r="L21" s="2"/>
      <c r="M21" s="12"/>
    </row>
    <row r="22" spans="1:13" ht="16.5" x14ac:dyDescent="0.25">
      <c r="B22" s="3">
        <f t="shared" si="1"/>
        <v>16</v>
      </c>
      <c r="C22" s="3" t="s">
        <v>70</v>
      </c>
      <c r="D22" s="3"/>
      <c r="E22" s="3"/>
      <c r="F22" s="3"/>
      <c r="G22" s="3"/>
      <c r="H22" s="3"/>
      <c r="I22" s="6" t="str">
        <f t="shared" ref="I22:I23" si="2">IF(ISNUMBER(H22),H22/2,"")</f>
        <v/>
      </c>
      <c r="J22" s="3"/>
      <c r="K22" s="2"/>
      <c r="L22" s="2"/>
      <c r="M22" s="12"/>
    </row>
    <row r="23" spans="1:13" ht="16.5" x14ac:dyDescent="0.25">
      <c r="B23" s="3">
        <f t="shared" si="1"/>
        <v>17</v>
      </c>
      <c r="C23" s="3" t="s">
        <v>6</v>
      </c>
      <c r="D23" s="3"/>
      <c r="E23" s="3"/>
      <c r="F23" s="3"/>
      <c r="G23" s="3"/>
      <c r="H23" s="3"/>
      <c r="I23" s="6" t="str">
        <f t="shared" si="2"/>
        <v/>
      </c>
      <c r="J23" s="3"/>
      <c r="K23" s="2"/>
      <c r="L23" s="2"/>
      <c r="M23" s="12"/>
    </row>
    <row r="25" spans="1:13" ht="22.5" x14ac:dyDescent="0.3">
      <c r="D25" s="23" t="s">
        <v>65</v>
      </c>
      <c r="E25" s="24">
        <v>0.6</v>
      </c>
      <c r="F25" s="25" t="s">
        <v>66</v>
      </c>
      <c r="H25" s="31" t="s">
        <v>29</v>
      </c>
      <c r="I25" s="31"/>
      <c r="J25" s="9">
        <f>SUM(H7:H1000)</f>
        <v>0</v>
      </c>
    </row>
    <row r="26" spans="1:13" ht="22.5" x14ac:dyDescent="0.3">
      <c r="H26" s="31" t="s">
        <v>30</v>
      </c>
      <c r="I26" s="31"/>
      <c r="J26" s="9">
        <f>SUM(I7:I1000)</f>
        <v>0</v>
      </c>
    </row>
    <row r="42" spans="2:2" x14ac:dyDescent="0.25">
      <c r="B42" s="22" t="s">
        <v>58</v>
      </c>
    </row>
    <row r="43" spans="2:2" ht="16.5" x14ac:dyDescent="0.25">
      <c r="B43" s="17" t="s">
        <v>14</v>
      </c>
    </row>
    <row r="44" spans="2:2" ht="16.5" x14ac:dyDescent="0.25">
      <c r="B44" s="18" t="s">
        <v>16</v>
      </c>
    </row>
    <row r="45" spans="2:2" ht="16.5" x14ac:dyDescent="0.25">
      <c r="B45" s="17" t="s">
        <v>17</v>
      </c>
    </row>
    <row r="46" spans="2:2" ht="16.5" x14ac:dyDescent="0.25">
      <c r="B46" s="18" t="s">
        <v>48</v>
      </c>
    </row>
    <row r="47" spans="2:2" ht="16.5" x14ac:dyDescent="0.25">
      <c r="B47" s="17" t="s">
        <v>19</v>
      </c>
    </row>
    <row r="48" spans="2:2" ht="16.5" x14ac:dyDescent="0.25">
      <c r="B48" s="19" t="s">
        <v>56</v>
      </c>
    </row>
    <row r="49" spans="2:2" ht="16.5" x14ac:dyDescent="0.25">
      <c r="B49" s="20" t="s">
        <v>22</v>
      </c>
    </row>
    <row r="50" spans="2:2" ht="16.5" x14ac:dyDescent="0.25">
      <c r="B50" s="19" t="s">
        <v>32</v>
      </c>
    </row>
    <row r="51" spans="2:2" ht="16.5" x14ac:dyDescent="0.25">
      <c r="B51" s="20" t="s">
        <v>25</v>
      </c>
    </row>
    <row r="52" spans="2:2" ht="16.5" x14ac:dyDescent="0.25">
      <c r="B52" s="19" t="s">
        <v>27</v>
      </c>
    </row>
    <row r="53" spans="2:2" ht="16.5" x14ac:dyDescent="0.25">
      <c r="B53" s="20" t="s">
        <v>57</v>
      </c>
    </row>
    <row r="54" spans="2:2" ht="16.5" x14ac:dyDescent="0.25">
      <c r="B54" s="19" t="s">
        <v>36</v>
      </c>
    </row>
    <row r="55" spans="2:2" ht="16.5" x14ac:dyDescent="0.25">
      <c r="B55" s="21" t="s">
        <v>35</v>
      </c>
    </row>
  </sheetData>
  <mergeCells count="4">
    <mergeCell ref="B2:K2"/>
    <mergeCell ref="B3:K3"/>
    <mergeCell ref="H25:I25"/>
    <mergeCell ref="H26:I2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01-01</vt:lpstr>
      <vt:lpstr>02-01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>nguyenducanh12a10@gmail.com</cp:lastModifiedBy>
  <dcterms:created xsi:type="dcterms:W3CDTF">2015-06-05T18:17:20Z</dcterms:created>
  <dcterms:modified xsi:type="dcterms:W3CDTF">2026-01-02T11:40:56Z</dcterms:modified>
</cp:coreProperties>
</file>